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1" autoFilterDateGrouping="1"/>
  </bookViews>
  <sheets>
    <sheet xmlns:r="http://schemas.openxmlformats.org/officeDocument/2006/relationships" name="Instrucciones" sheetId="1" state="visible" r:id="rId1"/>
    <sheet xmlns:r="http://schemas.openxmlformats.org/officeDocument/2006/relationships" name="Resumen" sheetId="2" state="visible" r:id="rId2"/>
    <sheet xmlns:r="http://schemas.openxmlformats.org/officeDocument/2006/relationships" name="Productos" sheetId="3" state="visible" r:id="rId3"/>
    <sheet xmlns:r="http://schemas.openxmlformats.org/officeDocument/2006/relationships" name="Listas" sheetId="4" state="hidden" r:id="rId4"/>
  </sheets>
  <definedNames>
    <definedName name="_xlnm._FilterDatabase" localSheetId="2" hidden="1">'Productos'!$A$1:$S$75</definedName>
  </definedNames>
  <calcPr calcId="124519" fullCalcOnLoad="1"/>
</workbook>
</file>

<file path=xl/styles.xml><?xml version="1.0" encoding="utf-8"?>
<styleSheet xmlns="http://schemas.openxmlformats.org/spreadsheetml/2006/main">
  <numFmts count="2">
    <numFmt numFmtId="164" formatCode="DD/MM/YYYY"/>
    <numFmt numFmtId="165" formatCode="$#,##0"/>
  </numFmts>
  <fonts count="10">
    <font>
      <name val="Calibri"/>
      <family val="2"/>
      <color theme="1"/>
      <sz val="11"/>
      <scheme val="minor"/>
    </font>
    <font>
      <b val="1"/>
      <color rgb="008E55D6"/>
      <sz val="14"/>
    </font>
    <font>
      <color rgb="0045454A"/>
      <sz val="11"/>
    </font>
    <font>
      <b val="1"/>
      <color rgb="008E55D6"/>
      <sz val="12"/>
    </font>
    <font>
      <b val="1"/>
      <color rgb="00FFFFFF"/>
    </font>
    <font>
      <color rgb="008A8A8F"/>
      <sz val="9"/>
    </font>
    <font>
      <color rgb="008A8A8F"/>
      <sz val="11"/>
    </font>
    <font>
      <b val="1"/>
      <color rgb="00B00020"/>
    </font>
    <font>
      <b val="1"/>
    </font>
    <font>
      <b val="1"/>
      <sz val="14"/>
    </font>
  </fonts>
  <fills count="5">
    <fill>
      <patternFill/>
    </fill>
    <fill>
      <patternFill patternType="gray125"/>
    </fill>
    <fill>
      <patternFill patternType="solid">
        <fgColor rgb="008E55D6"/>
      </patternFill>
    </fill>
    <fill>
      <patternFill patternType="solid">
        <fgColor rgb="00F1F0EC"/>
      </patternFill>
    </fill>
    <fill>
      <patternFill patternType="solid">
        <fgColor rgb="00FFF7D6"/>
      </patternFill>
    </fill>
  </fills>
  <borders count="2">
    <border>
      <left/>
      <right/>
      <top/>
      <bottom/>
      <diagonal/>
    </border>
    <border>
      <bottom style="thin">
        <color rgb="00D9CCF2"/>
      </bottom>
    </border>
  </borders>
  <cellStyleXfs count="1">
    <xf numFmtId="0" fontId="0" fillId="0" borderId="0"/>
  </cellStyleXfs>
  <cellXfs count="19">
    <xf numFmtId="0"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xf numFmtId="0" fontId="3" fillId="0" borderId="0" applyAlignment="1" pivotButton="0" quotePrefix="0" xfId="0">
      <alignment vertical="top" wrapText="1"/>
    </xf>
    <xf numFmtId="0" fontId="4" fillId="2" borderId="0" applyAlignment="1" pivotButton="0" quotePrefix="0" xfId="0">
      <alignment horizontal="center" vertical="center" wrapText="1"/>
    </xf>
    <xf numFmtId="0" fontId="5" fillId="3" borderId="1" pivotButton="0" quotePrefix="0" xfId="0"/>
    <xf numFmtId="0" fontId="0" fillId="0" borderId="1" pivotButton="0" quotePrefix="0" xfId="0"/>
    <xf numFmtId="0" fontId="0" fillId="4" borderId="1" pivotButton="0" quotePrefix="0" xfId="0"/>
    <xf numFmtId="3" fontId="0" fillId="4" borderId="1" pivotButton="0" quotePrefix="0" xfId="0"/>
    <xf numFmtId="164" fontId="0" fillId="0" borderId="1" pivotButton="0" quotePrefix="0" xfId="0"/>
    <xf numFmtId="0" fontId="6" fillId="3" borderId="1" pivotButton="0" quotePrefix="0" xfId="0"/>
    <xf numFmtId="0" fontId="0" fillId="3" borderId="1" pivotButton="0" quotePrefix="0" xfId="0"/>
    <xf numFmtId="0" fontId="7" fillId="0" borderId="0" applyAlignment="1" pivotButton="0" quotePrefix="0" xfId="0">
      <alignment vertical="top" wrapText="1"/>
    </xf>
    <xf numFmtId="0" fontId="0" fillId="0" borderId="0" applyAlignment="1" pivotButton="0" quotePrefix="0" xfId="0">
      <alignment vertical="top" wrapText="1"/>
    </xf>
    <xf numFmtId="0" fontId="8" fillId="0" borderId="0" applyAlignment="1" pivotButton="0" quotePrefix="0" xfId="0">
      <alignment vertical="top" wrapText="1"/>
    </xf>
    <xf numFmtId="0" fontId="9" fillId="0" borderId="0" pivotButton="0" quotePrefix="0" xfId="0"/>
    <xf numFmtId="165" fontId="0" fillId="0" borderId="0" pivotButton="0" quotePrefix="0" xfId="0"/>
    <xf numFmtId="0" fontId="8" fillId="0" borderId="0" pivotButton="0" quotePrefix="0" xfId="0"/>
    <xf numFmtId="0" fontId="0" fillId="0" borderId="0" applyAlignment="1" pivotButton="0" quotePrefix="0" xfId="0">
      <alignment wrapText="1"/>
    </xf>
  </cellXfs>
  <cellStyles count="1">
    <cellStyle name="Normal" xfId="0" builtinId="0" hidden="0"/>
  </cellStyles>
  <dxfs count="2">
    <dxf>
      <font>
        <b val="1"/>
        <color rgb="00B00020"/>
      </font>
      <fill>
        <patternFill patternType="solid">
          <fgColor rgb="00FDE2E2"/>
          <bgColor rgb="00FDE2E2"/>
        </patternFill>
      </fill>
    </dxf>
    <dxf>
      <font>
        <color rgb="002E7D32"/>
      </font>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31"/>
  <sheetViews>
    <sheetView workbookViewId="0">
      <selection activeCell="A1" sqref="A1"/>
    </sheetView>
  </sheetViews>
  <sheetFormatPr baseColWidth="8" defaultRowHeight="15"/>
  <cols>
    <col width="110" customWidth="1" min="1" max="1"/>
  </cols>
  <sheetData>
    <row r="1">
      <c r="A1" s="1" t="inlineStr">
        <is>
          <t>Carga de la Mercería — Lana Rosa</t>
        </is>
      </c>
    </row>
    <row r="2">
      <c r="A2" s="2" t="inlineStr">
        <is>
          <t>Esta plantilla sirve para cargar en el ERP la mercancía de la tienda física (centro "Tienda/Mercería") antes de la apertura.</t>
        </is>
      </c>
    </row>
    <row r="3" ht="48" customHeight="1">
      <c r="A3" s="12" t="inlineStr">
        <is>
          <t>IMPORTANTE: esta plantilla es SOLO para lo que se VENDE en la Mercería (el inventario de la TIENDA). Lo que usas para tejer (lanas, relleno, ojos… del inventario del TALLER) NO va aquí.</t>
        </is>
      </c>
    </row>
    <row r="4">
      <c r="A4" s="13" t="inlineStr">
        <is>
          <t>Si dudas de un producto, pregúntate: ¿lo va a comprar una clienta en la tienda? Si sí, va aquí; si es para tejer, no.</t>
        </is>
      </c>
    </row>
    <row r="6">
      <c r="A6" s="2" t="inlineStr"/>
    </row>
    <row r="7">
      <c r="A7" s="3" t="inlineStr">
        <is>
          <t>Cómo llenarla</t>
        </is>
      </c>
    </row>
    <row r="8">
      <c r="A8" s="2" t="inlineStr">
        <is>
          <t>1. Hoja "Productos": las primeras 34 filas son los productos que ya existen en el ERP. No cambies la columna ID.</t>
        </is>
      </c>
    </row>
    <row r="9">
      <c r="A9" s="2" t="inlineStr">
        <is>
          <t>2. Para cada producto que vas a tener en la tienda, escribe la cantidad comprada (ovillos o unidades) y el costo de compra de cada ovillo o unidad (lo que pagaste, con IVA).</t>
        </is>
      </c>
    </row>
    <row r="10">
      <c r="A10" s="2" t="inlineStr">
        <is>
          <t>3. Si un producto ya no lo vas a vender, escribe "No" en la columna "¿Se vende en la tienda?".</t>
        </is>
      </c>
    </row>
    <row r="11">
      <c r="A11" s="2" t="inlineStr">
        <is>
          <t>4. Los productos nuevos (agujas, herrajes, accesorios, relleno, tijeras, etc.) van en las filas vacías de abajo, sin ID.</t>
        </is>
      </c>
    </row>
    <row r="12">
      <c r="A12" s="2" t="inlineStr">
        <is>
          <t>5. Proveedor, factura y fecha de compra: llénalos si los tienes; sirven para el Kardex y para la contabilidad.</t>
        </is>
      </c>
    </row>
    <row r="13">
      <c r="A13" s="2" t="inlineStr">
        <is>
          <t>6. Código de barras: si el producto lo trae, escríbelo (o escanéalo con un lector); así se encuentra rápido en el POS.</t>
        </is>
      </c>
    </row>
    <row r="14">
      <c r="A14" s="2" t="inlineStr"/>
    </row>
    <row r="15">
      <c r="A15" s="3" t="inlineStr">
        <is>
          <t>Columna "¿Cómo se vende?"</t>
        </is>
      </c>
    </row>
    <row r="16">
      <c r="A16" s="2" t="inlineStr">
        <is>
          <t>• Por ovillo y por gramo (lanas e hilos): en la caja se vende el ovillo completo o los gramos que pida el cliente. Escribe cuántos ovillos compraste y el costo de cada ovillo; el sistema guarda la existencia en gramos usando el peso del ovillo.</t>
        </is>
      </c>
    </row>
    <row r="17">
      <c r="A17" s="2" t="inlineStr">
        <is>
          <t>• Por unidad: agujas, herrajes, tijeras, paquetes de relleno, etc. Se vende la pieza completa.</t>
        </is>
      </c>
    </row>
    <row r="18">
      <c r="A18" s="2" t="inlineStr">
        <is>
          <t>Para las lanas y los hilos es obligatorio el peso por ovillo (columna "Peso por unidad (g)").</t>
        </is>
      </c>
    </row>
    <row r="19">
      <c r="A19" s="2" t="inlineStr"/>
    </row>
    <row r="20">
      <c r="A20" s="3" t="inlineStr">
        <is>
          <t>El precio de venta no hace falta</t>
        </is>
      </c>
    </row>
    <row r="21">
      <c r="A21" s="2" t="inlineStr">
        <is>
          <t>Claude lo calcula con la regla de la Mercería del ERP: costo × (1 + carga de costos fijos) ÷ (1 − 40 % de utilidad), redondeado a los $100.</t>
        </is>
      </c>
    </row>
    <row r="22">
      <c r="A22" s="2" t="inlineStr">
        <is>
          <t>La columna "Precio de venta hoy" es solo de referencia.</t>
        </is>
      </c>
    </row>
    <row r="23">
      <c r="A23" s="2" t="inlineStr"/>
    </row>
    <row r="24">
      <c r="A24" s="3" t="inlineStr">
        <is>
          <t>Cuando termines</t>
        </is>
      </c>
    </row>
    <row r="25">
      <c r="A25" s="2" t="inlineStr">
        <is>
          <t>Envía el archivo a Claude. Claude crea los productos nuevos, registra las entradas con su costo (como "Entrada de nueva mercancía" del ERP), calcula los precios y te muestra un resumen antes de dejarlo listo.</t>
        </is>
      </c>
    </row>
    <row r="27">
      <c r="A27" s="14" t="inlineStr">
        <is>
          <t>Para no equivocarte (ayudas nuevas, 22-oct-2026)</t>
        </is>
      </c>
    </row>
    <row r="28">
      <c r="A28" s="13" t="inlineStr">
        <is>
          <t>• La columna T de "Productos" ("Revisión") te avisa en rojo si a una fila le falta el costo, el peso del ovillo o la categoría. Déjala vacía antes de enviar el archivo.</t>
        </is>
      </c>
    </row>
    <row r="29">
      <c r="A29" s="13" t="inlineStr">
        <is>
          <t>• La hoja "Resumen" cuenta cuántos productos llevan cantidad, cuántos ovillos/unidades y cuánto vale la mercancía (cantidad × costo). Ese valor es el que necesita el contador para el saldo de apertura.</t>
        </is>
      </c>
    </row>
    <row r="30">
      <c r="A30" s="13" t="inlineStr">
        <is>
          <t>• Ejemplo de una lana: Cantidad comprada = 10 (ovillos), Costo por ovillo = 7.500, Peso por unidad = 160. El sistema guarda 1.600 g a $46,88 el gramo.</t>
        </is>
      </c>
    </row>
    <row r="31">
      <c r="A31" s="13" t="inlineStr">
        <is>
          <t>• Ejemplo de una aguja: Cantidad = 24, Costo por unidad = 1.800, "¿Cómo se vende?" = Por unidad.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cols>
    <col width="46" customWidth="1" min="1" max="1"/>
    <col width="22" customWidth="1" min="2" max="2"/>
  </cols>
  <sheetData>
    <row r="1">
      <c r="A1" s="15" t="inlineStr">
        <is>
          <t>Resumen de la carga (se calcula solo)</t>
        </is>
      </c>
    </row>
    <row r="3">
      <c r="A3" t="inlineStr">
        <is>
          <t>Productos con cantidad comprada</t>
        </is>
      </c>
      <c r="B3">
        <f>COUNTIFS(Productos!K2:K150,"&gt;0")</f>
        <v/>
      </c>
    </row>
    <row r="4">
      <c r="A4" t="inlineStr">
        <is>
          <t>Ovillos o unidades compradas (suma)</t>
        </is>
      </c>
      <c r="B4">
        <f>SUM(Productos!K2:K150)</f>
        <v/>
      </c>
    </row>
    <row r="5">
      <c r="A5" t="inlineStr">
        <is>
          <t>Valor de la mercancía a costo (COP)</t>
        </is>
      </c>
      <c r="B5" s="16">
        <f>SUMPRODUCT(Productos!K2:K150,Productos!L2:L150)</f>
        <v/>
      </c>
    </row>
    <row r="6">
      <c r="A6" t="inlineStr">
        <is>
          <t>Productos nuevos (sin ID) por crear</t>
        </is>
      </c>
      <c r="B6">
        <f>COUNTIFS(Productos!A2:A150,"",Productos!C2:C150,"&lt;&gt;")</f>
        <v/>
      </c>
    </row>
    <row r="7">
      <c r="A7" t="inlineStr">
        <is>
          <t>Filas con algo por corregir</t>
        </is>
      </c>
      <c r="B7" s="17">
        <f>COUNTIF(Productos!T2:T150,"Falta*")</f>
        <v/>
      </c>
    </row>
    <row r="8">
      <c r="A8" t="inlineStr">
        <is>
          <t>Productos marcados "No se vende"</t>
        </is>
      </c>
      <c r="B8">
        <f>COUNTIF(Productos!J2:J150,"No")</f>
        <v/>
      </c>
    </row>
    <row r="10">
      <c r="A10" s="18" t="inlineStr">
        <is>
          <t>Si "Filas con algo por corregir" no es 0, revisa la columna T de la hoja Productos antes de enviar el archivo.</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T150"/>
  <sheetViews>
    <sheetView workbookViewId="0">
      <pane xSplit="3" ySplit="1" topLeftCell="D2" activePane="bottomRight" state="frozen"/>
      <selection pane="topRight" activeCell="A1" sqref="A1"/>
      <selection pane="bottomLeft" activeCell="A1" sqref="A1"/>
      <selection pane="bottomRight" activeCell="A1" sqref="A1"/>
    </sheetView>
  </sheetViews>
  <sheetFormatPr baseColWidth="8" defaultRowHeight="15"/>
  <cols>
    <col width="38" customWidth="1" min="1" max="1"/>
    <col width="22" customWidth="1" min="2" max="2"/>
    <col width="58" customWidth="1" min="3" max="3"/>
    <col width="14" customWidth="1" min="4" max="4"/>
    <col width="20" customWidth="1" min="5" max="5"/>
    <col width="14" customWidth="1" min="6" max="6"/>
    <col width="12" customWidth="1" min="7" max="7"/>
    <col width="11" customWidth="1" min="8" max="8"/>
    <col width="16" customWidth="1" min="9" max="9"/>
    <col width="12" customWidth="1" min="10" max="10"/>
    <col width="12" customWidth="1" min="11" max="11"/>
    <col width="16" customWidth="1" min="12" max="12"/>
    <col width="22" customWidth="1" min="13" max="13"/>
    <col width="14" customWidth="1" min="14" max="14"/>
    <col width="14" customWidth="1" min="15" max="15"/>
    <col width="20" customWidth="1" min="16" max="16"/>
    <col width="10" customWidth="1" min="17" max="17"/>
    <col width="16" customWidth="1" min="18" max="18"/>
    <col width="30" customWidth="1" min="19" max="19"/>
    <col width="34" customWidth="1" min="20" max="20"/>
  </cols>
  <sheetData>
    <row r="1" ht="48" customHeight="1">
      <c r="A1" s="4" t="inlineStr">
        <is>
          <t>ID (no tocar)</t>
        </is>
      </c>
      <c r="B1" s="4" t="inlineStr">
        <is>
          <t>Categoría</t>
        </is>
      </c>
      <c r="C1" s="4" t="inlineStr">
        <is>
          <t>Nombre del producto</t>
        </is>
      </c>
      <c r="D1" s="4" t="inlineStr">
        <is>
          <t>Marca</t>
        </is>
      </c>
      <c r="E1" s="4" t="inlineStr">
        <is>
          <t>Color / referencia</t>
        </is>
      </c>
      <c r="F1" s="4" t="inlineStr">
        <is>
          <t>Material</t>
        </is>
      </c>
      <c r="G1" s="4" t="inlineStr">
        <is>
          <t>Peso por unidad (g)</t>
        </is>
      </c>
      <c r="H1" s="4" t="inlineStr">
        <is>
          <t>Metros por unidad</t>
        </is>
      </c>
      <c r="I1" s="4" t="inlineStr">
        <is>
          <t>¿Cómo se vende?</t>
        </is>
      </c>
      <c r="J1" s="4" t="inlineStr">
        <is>
          <t>¿Se vende en la tienda?</t>
        </is>
      </c>
      <c r="K1" s="4" t="inlineStr">
        <is>
          <t>Cantidad comprada (ovillos o unidades)</t>
        </is>
      </c>
      <c r="L1" s="4" t="inlineStr">
        <is>
          <t>Costo de compra por ovillo o por unidad (COP)</t>
        </is>
      </c>
      <c r="M1" s="4" t="inlineStr">
        <is>
          <t>Proveedor</t>
        </is>
      </c>
      <c r="N1" s="4" t="inlineStr">
        <is>
          <t>N.º factura</t>
        </is>
      </c>
      <c r="O1" s="4" t="inlineStr">
        <is>
          <t>Fecha de compra</t>
        </is>
      </c>
      <c r="P1" s="4" t="inlineStr">
        <is>
          <t>Código de barras / SKU</t>
        </is>
      </c>
      <c r="Q1" s="4" t="inlineStr">
        <is>
          <t>Stock mínimo</t>
        </is>
      </c>
      <c r="R1" s="4" t="inlineStr">
        <is>
          <t>Precio de venta hoy (referencia)</t>
        </is>
      </c>
      <c r="S1" s="4" t="inlineStr">
        <is>
          <t>Notas</t>
        </is>
      </c>
      <c r="T1" s="4" t="inlineStr">
        <is>
          <t>Revisión (automática, no tocar)</t>
        </is>
      </c>
    </row>
    <row r="2">
      <c r="A2" s="5" t="inlineStr">
        <is>
          <t>00c81579-e842-41d6-a850-7eb1ebbd4117</t>
        </is>
      </c>
      <c r="B2" s="6" t="inlineStr">
        <is>
          <t>Hilos</t>
        </is>
      </c>
      <c r="C2" s="6" t="inlineStr">
        <is>
          <t>Lana Happy Chenille - Marca DMC - Color Verde Limón Shade 29 - Presentación 15 gramos - 38 metros. (Chelin delgado)</t>
        </is>
      </c>
      <c r="D2" s="6" t="inlineStr">
        <is>
          <t>DMC</t>
        </is>
      </c>
      <c r="E2" s="6" t="inlineStr">
        <is>
          <t>Verde Limón</t>
        </is>
      </c>
      <c r="F2" s="6" t="inlineStr">
        <is>
          <t>Chenille</t>
        </is>
      </c>
      <c r="G2" s="6" t="n">
        <v>15</v>
      </c>
      <c r="H2" s="6" t="n">
        <v>38</v>
      </c>
      <c r="I2" s="6" t="inlineStr">
        <is>
          <t>Por ovillo y por gramo</t>
        </is>
      </c>
      <c r="J2" s="6" t="inlineStr">
        <is>
          <t>Sí</t>
        </is>
      </c>
      <c r="K2" s="7" t="n"/>
      <c r="L2" s="8" t="n"/>
      <c r="M2" s="6" t="n"/>
      <c r="N2" s="6" t="n"/>
      <c r="O2" s="9" t="n"/>
      <c r="P2" s="6" t="n"/>
      <c r="Q2" s="6" t="n">
        <v>0</v>
      </c>
      <c r="R2" s="10" t="inlineStr">
        <is>
          <t>$300 por gramo</t>
        </is>
      </c>
      <c r="S2" s="6" t="n"/>
      <c r="T2">
        <f>IF(C2="","",IF(AND(K2&lt;&gt;"",L2=""),"Falta el costo",IF(AND(LEFT(I2,6)="Por ov",K2&lt;&gt;"",G2=""),"Falta el peso del ovillo",IF(AND(A2="",B2=""),"Falta la categoría",IF(AND(A2="",I2=""),"Falta cómo se vende",IF(AND(K2&lt;&gt;"",N2="",M2=""),"(opcional) sin proveedor","OK"))))))</f>
        <v/>
      </c>
    </row>
    <row r="3">
      <c r="A3" s="5" t="inlineStr">
        <is>
          <t>3b2f47d0-0748-4827-981c-9d4df453b779</t>
        </is>
      </c>
      <c r="B3" s="6" t="inlineStr">
        <is>
          <t>Lanas</t>
        </is>
      </c>
      <c r="C3" s="6" t="inlineStr">
        <is>
          <t>Lana Chelin - Marca Kusi Kusi - Color Almendra #2110 Lote 250428 - peso 160 gramos - 125 metros - 100% poliester</t>
        </is>
      </c>
      <c r="D3" s="6" t="inlineStr">
        <is>
          <t>Kusi Kusi</t>
        </is>
      </c>
      <c r="E3" s="6" t="inlineStr">
        <is>
          <t>Almendra</t>
        </is>
      </c>
      <c r="F3" s="6" t="inlineStr">
        <is>
          <t>Poliester</t>
        </is>
      </c>
      <c r="G3" s="6" t="n">
        <v>160</v>
      </c>
      <c r="H3" s="6" t="n">
        <v>125</v>
      </c>
      <c r="I3" s="6" t="inlineStr">
        <is>
          <t>Por ovillo y por gramo</t>
        </is>
      </c>
      <c r="J3" s="6" t="inlineStr">
        <is>
          <t>Sí</t>
        </is>
      </c>
      <c r="K3" s="7" t="n"/>
      <c r="L3" s="8" t="n"/>
      <c r="M3" s="6" t="n"/>
      <c r="N3" s="6" t="n"/>
      <c r="O3" s="9" t="n"/>
      <c r="P3" s="6" t="n"/>
      <c r="Q3" s="6" t="n">
        <v>0</v>
      </c>
      <c r="R3" s="10" t="inlineStr">
        <is>
          <t>$110 por gramo</t>
        </is>
      </c>
      <c r="S3" s="6" t="n"/>
      <c r="T3">
        <f>IF(C3="","",IF(AND(K3&lt;&gt;"",L3=""),"Falta el costo",IF(AND(LEFT(I3,6)="Por ov",K3&lt;&gt;"",G3=""),"Falta el peso del ovillo",IF(AND(A3="",B3=""),"Falta la categoría",IF(AND(A3="",I3=""),"Falta cómo se vende",IF(AND(K3&lt;&gt;"",N3="",M3=""),"(opcional) sin proveedor","OK"))))))</f>
        <v/>
      </c>
    </row>
    <row r="4">
      <c r="A4" s="5" t="inlineStr">
        <is>
          <t>6ba3a3ce-9781-4561-ad28-ff34c0a1e301</t>
        </is>
      </c>
      <c r="B4" s="6" t="inlineStr">
        <is>
          <t>Lanas</t>
        </is>
      </c>
      <c r="C4" s="6" t="inlineStr">
        <is>
          <t>Lana Chelin - Marca Kusi Kusi - Color Amarillo #2103 Lote 250428 - peso 160 gramos - 125 metros - 100% poliester</t>
        </is>
      </c>
      <c r="D4" s="6" t="inlineStr">
        <is>
          <t>Kusi Kusi</t>
        </is>
      </c>
      <c r="E4" s="6" t="inlineStr">
        <is>
          <t>Amarillo</t>
        </is>
      </c>
      <c r="F4" s="6" t="inlineStr">
        <is>
          <t>Poliester</t>
        </is>
      </c>
      <c r="G4" s="6" t="n">
        <v>160</v>
      </c>
      <c r="H4" s="6" t="n">
        <v>125</v>
      </c>
      <c r="I4" s="6" t="inlineStr">
        <is>
          <t>Por ovillo y por gramo</t>
        </is>
      </c>
      <c r="J4" s="6" t="inlineStr">
        <is>
          <t>Sí</t>
        </is>
      </c>
      <c r="K4" s="7" t="n"/>
      <c r="L4" s="8" t="n"/>
      <c r="M4" s="6" t="n"/>
      <c r="N4" s="6" t="n"/>
      <c r="O4" s="9" t="n"/>
      <c r="P4" s="6" t="n"/>
      <c r="Q4" s="6" t="n">
        <v>0</v>
      </c>
      <c r="R4" s="10" t="inlineStr">
        <is>
          <t>$110 por unidad</t>
        </is>
      </c>
      <c r="S4" s="6" t="n"/>
      <c r="T4">
        <f>IF(C4="","",IF(AND(K4&lt;&gt;"",L4=""),"Falta el costo",IF(AND(LEFT(I4,6)="Por ov",K4&lt;&gt;"",G4=""),"Falta el peso del ovillo",IF(AND(A4="",B4=""),"Falta la categoría",IF(AND(A4="",I4=""),"Falta cómo se vende",IF(AND(K4&lt;&gt;"",N4="",M4=""),"(opcional) sin proveedor","OK"))))))</f>
        <v/>
      </c>
    </row>
    <row r="5">
      <c r="A5" s="5" t="inlineStr">
        <is>
          <t>f8b7bdfe-aa92-477e-a335-a546812b696b</t>
        </is>
      </c>
      <c r="B5" s="6" t="inlineStr">
        <is>
          <t>Lanas</t>
        </is>
      </c>
      <c r="C5" s="6" t="inlineStr">
        <is>
          <t>Lana Chelin - Marca Kusi Kusi - Color Azul Rey #2112 Lote 250428 - peso 160 gramos - 125 metros - 100% poliester</t>
        </is>
      </c>
      <c r="D5" s="6" t="inlineStr">
        <is>
          <t>Kusi Kusi</t>
        </is>
      </c>
      <c r="E5" s="6" t="inlineStr">
        <is>
          <t>Azul Rey</t>
        </is>
      </c>
      <c r="F5" s="6" t="inlineStr">
        <is>
          <t>Poliester</t>
        </is>
      </c>
      <c r="G5" s="6" t="n">
        <v>160</v>
      </c>
      <c r="H5" s="6" t="n">
        <v>125</v>
      </c>
      <c r="I5" s="6" t="inlineStr">
        <is>
          <t>Por ovillo y por gramo</t>
        </is>
      </c>
      <c r="J5" s="6" t="inlineStr">
        <is>
          <t>Sí</t>
        </is>
      </c>
      <c r="K5" s="7" t="n"/>
      <c r="L5" s="8" t="n"/>
      <c r="M5" s="6" t="n"/>
      <c r="N5" s="6" t="n"/>
      <c r="O5" s="9" t="n"/>
      <c r="P5" s="6" t="n"/>
      <c r="Q5" s="6" t="n">
        <v>0</v>
      </c>
      <c r="R5" s="10" t="inlineStr">
        <is>
          <t>$110 por unidad</t>
        </is>
      </c>
      <c r="S5" s="6" t="n"/>
      <c r="T5">
        <f>IF(C5="","",IF(AND(K5&lt;&gt;"",L5=""),"Falta el costo",IF(AND(LEFT(I5,6)="Por ov",K5&lt;&gt;"",G5=""),"Falta el peso del ovillo",IF(AND(A5="",B5=""),"Falta la categoría",IF(AND(A5="",I5=""),"Falta cómo se vende",IF(AND(K5&lt;&gt;"",N5="",M5=""),"(opcional) sin proveedor","OK"))))))</f>
        <v/>
      </c>
    </row>
    <row r="6">
      <c r="A6" s="5" t="inlineStr">
        <is>
          <t>a7cf2e30-4531-4b4f-be24-e4dcffda7a60</t>
        </is>
      </c>
      <c r="B6" s="6" t="inlineStr">
        <is>
          <t>Lanas</t>
        </is>
      </c>
      <c r="C6" s="6" t="inlineStr">
        <is>
          <t>Lana Chelin - Marca Kusi Kusi - Color Blanco #2101 Lote 250428 - peso 160 gramos - 125 metros - 100% poliester</t>
        </is>
      </c>
      <c r="D6" s="6" t="inlineStr">
        <is>
          <t>Kusi Kusi</t>
        </is>
      </c>
      <c r="E6" s="6" t="inlineStr">
        <is>
          <t>Blanco</t>
        </is>
      </c>
      <c r="F6" s="6" t="inlineStr">
        <is>
          <t>Poliester</t>
        </is>
      </c>
      <c r="G6" s="6" t="n">
        <v>160</v>
      </c>
      <c r="H6" s="6" t="n">
        <v>125</v>
      </c>
      <c r="I6" s="6" t="inlineStr">
        <is>
          <t>Por ovillo y por gramo</t>
        </is>
      </c>
      <c r="J6" s="6" t="inlineStr">
        <is>
          <t>Sí</t>
        </is>
      </c>
      <c r="K6" s="7" t="n"/>
      <c r="L6" s="8" t="n"/>
      <c r="M6" s="6" t="n"/>
      <c r="N6" s="6" t="n"/>
      <c r="O6" s="9" t="n"/>
      <c r="P6" s="6" t="n"/>
      <c r="Q6" s="6" t="n">
        <v>0</v>
      </c>
      <c r="R6" s="10" t="inlineStr">
        <is>
          <t>$110 por gramo</t>
        </is>
      </c>
      <c r="S6" s="6" t="n"/>
      <c r="T6">
        <f>IF(C6="","",IF(AND(K6&lt;&gt;"",L6=""),"Falta el costo",IF(AND(LEFT(I6,6)="Por ov",K6&lt;&gt;"",G6=""),"Falta el peso del ovillo",IF(AND(A6="",B6=""),"Falta la categoría",IF(AND(A6="",I6=""),"Falta cómo se vende",IF(AND(K6&lt;&gt;"",N6="",M6=""),"(opcional) sin proveedor","OK"))))))</f>
        <v/>
      </c>
    </row>
    <row r="7">
      <c r="A7" s="5" t="inlineStr">
        <is>
          <t>538aa581-e759-483a-919e-3559190b4767</t>
        </is>
      </c>
      <c r="B7" s="6" t="inlineStr">
        <is>
          <t>Lanas</t>
        </is>
      </c>
      <c r="C7" s="6" t="inlineStr">
        <is>
          <t>Lana Chelin - Marca Kusi Kusi - Color Crema #2108 Lote 250428 - peso 160 gramos - 125 metros - 100% poliester</t>
        </is>
      </c>
      <c r="D7" s="6" t="inlineStr">
        <is>
          <t>Kusi Kusi</t>
        </is>
      </c>
      <c r="E7" s="6" t="inlineStr">
        <is>
          <t>Crema</t>
        </is>
      </c>
      <c r="F7" s="6" t="inlineStr">
        <is>
          <t>Poliester</t>
        </is>
      </c>
      <c r="G7" s="6" t="n">
        <v>160</v>
      </c>
      <c r="H7" s="6" t="n">
        <v>125</v>
      </c>
      <c r="I7" s="6" t="inlineStr">
        <is>
          <t>Por ovillo y por gramo</t>
        </is>
      </c>
      <c r="J7" s="6" t="inlineStr">
        <is>
          <t>Sí</t>
        </is>
      </c>
      <c r="K7" s="7" t="n"/>
      <c r="L7" s="8" t="n"/>
      <c r="M7" s="6" t="n"/>
      <c r="N7" s="6" t="n"/>
      <c r="O7" s="9" t="n"/>
      <c r="P7" s="6" t="n"/>
      <c r="Q7" s="6" t="n">
        <v>0</v>
      </c>
      <c r="R7" s="10" t="inlineStr">
        <is>
          <t>$110 por unidad</t>
        </is>
      </c>
      <c r="S7" s="6" t="n"/>
      <c r="T7">
        <f>IF(C7="","",IF(AND(K7&lt;&gt;"",L7=""),"Falta el costo",IF(AND(LEFT(I7,6)="Por ov",K7&lt;&gt;"",G7=""),"Falta el peso del ovillo",IF(AND(A7="",B7=""),"Falta la categoría",IF(AND(A7="",I7=""),"Falta cómo se vende",IF(AND(K7&lt;&gt;"",N7="",M7=""),"(opcional) sin proveedor","OK"))))))</f>
        <v/>
      </c>
    </row>
    <row r="8">
      <c r="A8" s="5" t="inlineStr">
        <is>
          <t>6976d3ee-0bd4-4320-8574-93bc207dbf61</t>
        </is>
      </c>
      <c r="B8" s="6" t="inlineStr">
        <is>
          <t>Lanas</t>
        </is>
      </c>
      <c r="C8" s="6" t="inlineStr">
        <is>
          <t>Lana Chelin - Marca Kusi Kusi - Color Gris Claro T18 Lote 250428 - peso 160 gramos - 125 metros - 100% poliester</t>
        </is>
      </c>
      <c r="D8" s="6" t="inlineStr">
        <is>
          <t>Kusi Kusi</t>
        </is>
      </c>
      <c r="E8" s="6" t="inlineStr">
        <is>
          <t>Gris Claro T18</t>
        </is>
      </c>
      <c r="F8" s="6" t="inlineStr">
        <is>
          <t>Poliester</t>
        </is>
      </c>
      <c r="G8" s="6" t="n">
        <v>160</v>
      </c>
      <c r="H8" s="6" t="n">
        <v>125</v>
      </c>
      <c r="I8" s="6" t="inlineStr">
        <is>
          <t>Por ovillo y por gramo</t>
        </is>
      </c>
      <c r="J8" s="6" t="inlineStr">
        <is>
          <t>Sí</t>
        </is>
      </c>
      <c r="K8" s="7" t="n"/>
      <c r="L8" s="8" t="n"/>
      <c r="M8" s="6" t="n"/>
      <c r="N8" s="6" t="n"/>
      <c r="O8" s="9" t="n"/>
      <c r="P8" s="6" t="n"/>
      <c r="Q8" s="6" t="n">
        <v>0</v>
      </c>
      <c r="R8" s="10" t="inlineStr">
        <is>
          <t>$110 por gramo</t>
        </is>
      </c>
      <c r="S8" s="6" t="n"/>
      <c r="T8">
        <f>IF(C8="","",IF(AND(K8&lt;&gt;"",L8=""),"Falta el costo",IF(AND(LEFT(I8,6)="Por ov",K8&lt;&gt;"",G8=""),"Falta el peso del ovillo",IF(AND(A8="",B8=""),"Falta la categoría",IF(AND(A8="",I8=""),"Falta cómo se vende",IF(AND(K8&lt;&gt;"",N8="",M8=""),"(opcional) sin proveedor","OK"))))))</f>
        <v/>
      </c>
    </row>
    <row r="9">
      <c r="A9" s="5" t="inlineStr">
        <is>
          <t>e6cf35a1-17cd-407d-b5a5-102ea4ce33f1</t>
        </is>
      </c>
      <c r="B9" s="6" t="inlineStr">
        <is>
          <t>Lanas</t>
        </is>
      </c>
      <c r="C9" s="6" t="inlineStr">
        <is>
          <t>Lana Chelin - Marca Kusi Kusi - Color Gris Oscuro #2109 - peso 160 gramos - 125 metros - 100% poliester</t>
        </is>
      </c>
      <c r="D9" s="6" t="inlineStr">
        <is>
          <t>Kusi Kusi</t>
        </is>
      </c>
      <c r="E9" s="6" t="inlineStr">
        <is>
          <t>Gris Oscuro</t>
        </is>
      </c>
      <c r="F9" s="6" t="inlineStr">
        <is>
          <t>Poliester</t>
        </is>
      </c>
      <c r="G9" s="6" t="n">
        <v>160</v>
      </c>
      <c r="H9" s="6" t="n">
        <v>125</v>
      </c>
      <c r="I9" s="6" t="inlineStr">
        <is>
          <t>Por ovillo y por gramo</t>
        </is>
      </c>
      <c r="J9" s="6" t="inlineStr">
        <is>
          <t>Sí</t>
        </is>
      </c>
      <c r="K9" s="7" t="n"/>
      <c r="L9" s="8" t="n"/>
      <c r="M9" s="6" t="n"/>
      <c r="N9" s="6" t="n"/>
      <c r="O9" s="9" t="n"/>
      <c r="P9" s="6" t="n"/>
      <c r="Q9" s="6" t="n">
        <v>0</v>
      </c>
      <c r="R9" s="10" t="inlineStr">
        <is>
          <t>$110 por gramo</t>
        </is>
      </c>
      <c r="S9" s="6" t="n"/>
      <c r="T9">
        <f>IF(C9="","",IF(AND(K9&lt;&gt;"",L9=""),"Falta el costo",IF(AND(LEFT(I9,6)="Por ov",K9&lt;&gt;"",G9=""),"Falta el peso del ovillo",IF(AND(A9="",B9=""),"Falta la categoría",IF(AND(A9="",I9=""),"Falta cómo se vende",IF(AND(K9&lt;&gt;"",N9="",M9=""),"(opcional) sin proveedor","OK"))))))</f>
        <v/>
      </c>
    </row>
    <row r="10">
      <c r="A10" s="5" t="inlineStr">
        <is>
          <t>bfce27d1-a2d1-493e-9934-c52292494593</t>
        </is>
      </c>
      <c r="B10" s="6" t="inlineStr">
        <is>
          <t>Lanas</t>
        </is>
      </c>
      <c r="C10" s="6" t="inlineStr">
        <is>
          <t>Lana Chelin - Marca Kusi Kusi - Color Manzana #2106 Lote 250428 - peso 160 gramos - 125 metros - 100% poliester</t>
        </is>
      </c>
      <c r="D10" s="6" t="inlineStr">
        <is>
          <t>Kusi Kusi</t>
        </is>
      </c>
      <c r="E10" s="6" t="inlineStr">
        <is>
          <t>Manzana</t>
        </is>
      </c>
      <c r="F10" s="6" t="inlineStr">
        <is>
          <t>Poliester</t>
        </is>
      </c>
      <c r="G10" s="6" t="n">
        <v>160</v>
      </c>
      <c r="H10" s="6" t="n">
        <v>125</v>
      </c>
      <c r="I10" s="6" t="inlineStr">
        <is>
          <t>Por ovillo y por gramo</t>
        </is>
      </c>
      <c r="J10" s="6" t="inlineStr">
        <is>
          <t>Sí</t>
        </is>
      </c>
      <c r="K10" s="7" t="n"/>
      <c r="L10" s="8" t="n"/>
      <c r="M10" s="6" t="n"/>
      <c r="N10" s="6" t="n"/>
      <c r="O10" s="9" t="n"/>
      <c r="P10" s="6" t="n"/>
      <c r="Q10" s="6" t="n">
        <v>0</v>
      </c>
      <c r="R10" s="10" t="inlineStr">
        <is>
          <t>$110 por unidad</t>
        </is>
      </c>
      <c r="S10" s="6" t="n"/>
      <c r="T10">
        <f>IF(C10="","",IF(AND(K10&lt;&gt;"",L10=""),"Falta el costo",IF(AND(LEFT(I10,6)="Por ov",K10&lt;&gt;"",G10=""),"Falta el peso del ovillo",IF(AND(A10="",B10=""),"Falta la categoría",IF(AND(A10="",I10=""),"Falta cómo se vende",IF(AND(K10&lt;&gt;"",N10="",M10=""),"(opcional) sin proveedor","OK"))))))</f>
        <v/>
      </c>
    </row>
    <row r="11">
      <c r="A11" s="5" t="inlineStr">
        <is>
          <t>00f8df89-a56c-4db9-b420-d980f2ba085d</t>
        </is>
      </c>
      <c r="B11" s="6" t="inlineStr">
        <is>
          <t>Lanas</t>
        </is>
      </c>
      <c r="C11" s="6" t="inlineStr">
        <is>
          <t>Lana Chelin - Marca Kusi Kusi - Color Naranja T17 - peso 160 gramos - 125 metros - 100% poliester</t>
        </is>
      </c>
      <c r="D11" s="6" t="inlineStr">
        <is>
          <t>Kusi Kusi</t>
        </is>
      </c>
      <c r="E11" s="6" t="inlineStr">
        <is>
          <t>Naranja T17</t>
        </is>
      </c>
      <c r="F11" s="6" t="inlineStr">
        <is>
          <t>Poliester</t>
        </is>
      </c>
      <c r="G11" s="6" t="n">
        <v>160</v>
      </c>
      <c r="H11" s="6" t="n">
        <v>125</v>
      </c>
      <c r="I11" s="6" t="inlineStr">
        <is>
          <t>Por ovillo y por gramo</t>
        </is>
      </c>
      <c r="J11" s="6" t="inlineStr">
        <is>
          <t>Sí</t>
        </is>
      </c>
      <c r="K11" s="7" t="n"/>
      <c r="L11" s="8" t="n"/>
      <c r="M11" s="6" t="n"/>
      <c r="N11" s="6" t="n"/>
      <c r="O11" s="9" t="n"/>
      <c r="P11" s="6" t="n"/>
      <c r="Q11" s="6" t="n">
        <v>0</v>
      </c>
      <c r="R11" s="10" t="inlineStr">
        <is>
          <t>$110 por gramo</t>
        </is>
      </c>
      <c r="S11" s="6" t="n"/>
      <c r="T11">
        <f>IF(C11="","",IF(AND(K11&lt;&gt;"",L11=""),"Falta el costo",IF(AND(LEFT(I11,6)="Por ov",K11&lt;&gt;"",G11=""),"Falta el peso del ovillo",IF(AND(A11="",B11=""),"Falta la categoría",IF(AND(A11="",I11=""),"Falta cómo se vende",IF(AND(K11&lt;&gt;"",N11="",M11=""),"(opcional) sin proveedor","OK"))))))</f>
        <v/>
      </c>
    </row>
    <row r="12">
      <c r="A12" s="5" t="inlineStr">
        <is>
          <t>33ca3b30-94bc-4d34-9748-327dfdaa819c</t>
        </is>
      </c>
      <c r="B12" s="6" t="inlineStr">
        <is>
          <t>Lanas</t>
        </is>
      </c>
      <c r="C12" s="6" t="inlineStr">
        <is>
          <t>Lana Chelin - Marca Kusi Kusi - Color Piel #2170 Lote 250608 - peso 160 gramos - 125 metros - 100% poliester</t>
        </is>
      </c>
      <c r="D12" s="6" t="inlineStr">
        <is>
          <t>Kusi Kusi</t>
        </is>
      </c>
      <c r="E12" s="6" t="inlineStr">
        <is>
          <t>Piel</t>
        </is>
      </c>
      <c r="F12" s="6" t="inlineStr">
        <is>
          <t>Poliester</t>
        </is>
      </c>
      <c r="G12" s="6" t="n">
        <v>160</v>
      </c>
      <c r="H12" s="6" t="n">
        <v>125</v>
      </c>
      <c r="I12" s="6" t="inlineStr">
        <is>
          <t>Por ovillo y por gramo</t>
        </is>
      </c>
      <c r="J12" s="6" t="inlineStr">
        <is>
          <t>Sí</t>
        </is>
      </c>
      <c r="K12" s="7" t="n"/>
      <c r="L12" s="8" t="n"/>
      <c r="M12" s="6" t="n"/>
      <c r="N12" s="6" t="n"/>
      <c r="O12" s="9" t="n"/>
      <c r="P12" s="6" t="n"/>
      <c r="Q12" s="6" t="n">
        <v>0</v>
      </c>
      <c r="R12" s="10" t="inlineStr">
        <is>
          <t>$110 por unidad</t>
        </is>
      </c>
      <c r="S12" s="6" t="n"/>
      <c r="T12">
        <f>IF(C12="","",IF(AND(K12&lt;&gt;"",L12=""),"Falta el costo",IF(AND(LEFT(I12,6)="Por ov",K12&lt;&gt;"",G12=""),"Falta el peso del ovillo",IF(AND(A12="",B12=""),"Falta la categoría",IF(AND(A12="",I12=""),"Falta cómo se vende",IF(AND(K12&lt;&gt;"",N12="",M12=""),"(opcional) sin proveedor","OK"))))))</f>
        <v/>
      </c>
    </row>
    <row r="13">
      <c r="A13" s="5" t="inlineStr">
        <is>
          <t>b56ff83b-274f-491d-8a8d-4a860d21a35c</t>
        </is>
      </c>
      <c r="B13" s="6" t="inlineStr">
        <is>
          <t>Lanas</t>
        </is>
      </c>
      <c r="C13" s="6" t="inlineStr">
        <is>
          <t>Lana Chelin - Marca Kusi Kusi - Color Rosado Claro #T22 Lote 250608 - peso 160 gramos - 125 metros - 100% poliester</t>
        </is>
      </c>
      <c r="D13" s="6" t="inlineStr">
        <is>
          <t>Kusi Kusi</t>
        </is>
      </c>
      <c r="E13" s="6" t="inlineStr">
        <is>
          <t>Rosado Claro</t>
        </is>
      </c>
      <c r="F13" s="6" t="inlineStr">
        <is>
          <t>Poliester</t>
        </is>
      </c>
      <c r="G13" s="6" t="n">
        <v>160</v>
      </c>
      <c r="H13" s="6" t="n">
        <v>125</v>
      </c>
      <c r="I13" s="6" t="inlineStr">
        <is>
          <t>Por ovillo y por gramo</t>
        </is>
      </c>
      <c r="J13" s="6" t="inlineStr">
        <is>
          <t>Sí</t>
        </is>
      </c>
      <c r="K13" s="7" t="n"/>
      <c r="L13" s="8" t="n"/>
      <c r="M13" s="6" t="n"/>
      <c r="N13" s="6" t="n"/>
      <c r="O13" s="9" t="n"/>
      <c r="P13" s="6" t="n"/>
      <c r="Q13" s="6" t="n">
        <v>0</v>
      </c>
      <c r="R13" s="10" t="inlineStr">
        <is>
          <t>$110 por unidad</t>
        </is>
      </c>
      <c r="S13" s="6" t="n"/>
      <c r="T13">
        <f>IF(C13="","",IF(AND(K13&lt;&gt;"",L13=""),"Falta el costo",IF(AND(LEFT(I13,6)="Por ov",K13&lt;&gt;"",G13=""),"Falta el peso del ovillo",IF(AND(A13="",B13=""),"Falta la categoría",IF(AND(A13="",I13=""),"Falta cómo se vende",IF(AND(K13&lt;&gt;"",N13="",M13=""),"(opcional) sin proveedor","OK"))))))</f>
        <v/>
      </c>
    </row>
    <row r="14">
      <c r="A14" s="5" t="inlineStr">
        <is>
          <t>55f3dfb7-83e9-4e02-88ca-eb81425dec54</t>
        </is>
      </c>
      <c r="B14" s="6" t="inlineStr">
        <is>
          <t>Lanas</t>
        </is>
      </c>
      <c r="C14" s="6" t="inlineStr">
        <is>
          <t>Lana Chelin - Marca Kusi Kusi - Color Vinotinto T134 - peso 160 gramos - 125 metros - 100% poliester</t>
        </is>
      </c>
      <c r="D14" s="6" t="inlineStr">
        <is>
          <t>Kusi Kusi</t>
        </is>
      </c>
      <c r="E14" s="6" t="inlineStr">
        <is>
          <t>Vinotinto T134</t>
        </is>
      </c>
      <c r="F14" s="6" t="inlineStr">
        <is>
          <t>Poliester</t>
        </is>
      </c>
      <c r="G14" s="6" t="n">
        <v>160</v>
      </c>
      <c r="H14" s="6" t="n">
        <v>125</v>
      </c>
      <c r="I14" s="6" t="inlineStr">
        <is>
          <t>Por ovillo y por gramo</t>
        </is>
      </c>
      <c r="J14" s="6" t="inlineStr">
        <is>
          <t>Sí</t>
        </is>
      </c>
      <c r="K14" s="7" t="n"/>
      <c r="L14" s="8" t="n"/>
      <c r="M14" s="6" t="n"/>
      <c r="N14" s="6" t="n"/>
      <c r="O14" s="9" t="n"/>
      <c r="P14" s="6" t="n"/>
      <c r="Q14" s="6" t="n">
        <v>0</v>
      </c>
      <c r="R14" s="10" t="inlineStr">
        <is>
          <t>$110 por gramo</t>
        </is>
      </c>
      <c r="S14" s="6" t="n"/>
      <c r="T14">
        <f>IF(C14="","",IF(AND(K14&lt;&gt;"",L14=""),"Falta el costo",IF(AND(LEFT(I14,6)="Por ov",K14&lt;&gt;"",G14=""),"Falta el peso del ovillo",IF(AND(A14="",B14=""),"Falta la categoría",IF(AND(A14="",I14=""),"Falta cómo se vende",IF(AND(K14&lt;&gt;"",N14="",M14=""),"(opcional) sin proveedor","OK"))))))</f>
        <v/>
      </c>
    </row>
    <row r="15">
      <c r="A15" s="5" t="inlineStr">
        <is>
          <t>57620835-9604-4c19-ae39-f4f86ce0a4da</t>
        </is>
      </c>
      <c r="B15" s="6" t="inlineStr">
        <is>
          <t>Lanas</t>
        </is>
      </c>
      <c r="C15" s="6" t="inlineStr">
        <is>
          <t>Lana Ecological Cotton - Marca Papatya - Color 204 Lote 0524 - Peso 100 gramos  300 metros - 100% algodón</t>
        </is>
      </c>
      <c r="D15" s="6" t="inlineStr">
        <is>
          <t>Papatya</t>
        </is>
      </c>
      <c r="E15" s="6" t="inlineStr">
        <is>
          <t>204</t>
        </is>
      </c>
      <c r="F15" s="6" t="inlineStr">
        <is>
          <t>Algodón</t>
        </is>
      </c>
      <c r="G15" s="6" t="n">
        <v>100</v>
      </c>
      <c r="H15" s="6" t="n">
        <v>300</v>
      </c>
      <c r="I15" s="6" t="inlineStr">
        <is>
          <t>Por ovillo y por gramo</t>
        </is>
      </c>
      <c r="J15" s="6" t="inlineStr">
        <is>
          <t>Sí</t>
        </is>
      </c>
      <c r="K15" s="7" t="n"/>
      <c r="L15" s="8" t="n"/>
      <c r="M15" s="6" t="n"/>
      <c r="N15" s="6" t="n"/>
      <c r="O15" s="9" t="n"/>
      <c r="P15" s="6" t="n"/>
      <c r="Q15" s="6" t="n">
        <v>0</v>
      </c>
      <c r="R15" s="10" t="inlineStr">
        <is>
          <t>$120 por gramo</t>
        </is>
      </c>
      <c r="S15" s="6" t="n"/>
      <c r="T15">
        <f>IF(C15="","",IF(AND(K15&lt;&gt;"",L15=""),"Falta el costo",IF(AND(LEFT(I15,6)="Por ov",K15&lt;&gt;"",G15=""),"Falta el peso del ovillo",IF(AND(A15="",B15=""),"Falta la categoría",IF(AND(A15="",I15=""),"Falta cómo se vende",IF(AND(K15&lt;&gt;"",N15="",M15=""),"(opcional) sin proveedor","OK"))))))</f>
        <v/>
      </c>
    </row>
    <row r="16">
      <c r="A16" s="5" t="inlineStr">
        <is>
          <t>f20a3fad-c5a5-4b68-9ade-afd9b47a55a2</t>
        </is>
      </c>
      <c r="B16" s="6" t="inlineStr">
        <is>
          <t>Lanas</t>
        </is>
      </c>
      <c r="C16" s="6" t="inlineStr">
        <is>
          <t>Lana Ecological Cotton - Marca Papatya - Color Gris Claro 106 Lote 0824 - Peso 100 gramos - 300 metros - 100% algodón</t>
        </is>
      </c>
      <c r="D16" s="6" t="inlineStr">
        <is>
          <t>Papatya</t>
        </is>
      </c>
      <c r="E16" s="6" t="inlineStr">
        <is>
          <t>Gris Claro 106</t>
        </is>
      </c>
      <c r="F16" s="6" t="inlineStr">
        <is>
          <t>Algodón</t>
        </is>
      </c>
      <c r="G16" s="6" t="n">
        <v>100</v>
      </c>
      <c r="H16" s="6" t="n">
        <v>300</v>
      </c>
      <c r="I16" s="6" t="inlineStr">
        <is>
          <t>Por ovillo y por gramo</t>
        </is>
      </c>
      <c r="J16" s="6" t="inlineStr">
        <is>
          <t>Sí</t>
        </is>
      </c>
      <c r="K16" s="7" t="n"/>
      <c r="L16" s="8" t="n"/>
      <c r="M16" s="6" t="n"/>
      <c r="N16" s="6" t="n"/>
      <c r="O16" s="9" t="n"/>
      <c r="P16" s="6" t="n"/>
      <c r="Q16" s="6" t="n">
        <v>0</v>
      </c>
      <c r="R16" s="10" t="inlineStr">
        <is>
          <t>$120 por gramo</t>
        </is>
      </c>
      <c r="S16" s="6" t="n"/>
      <c r="T16">
        <f>IF(C16="","",IF(AND(K16&lt;&gt;"",L16=""),"Falta el costo",IF(AND(LEFT(I16,6)="Por ov",K16&lt;&gt;"",G16=""),"Falta el peso del ovillo",IF(AND(A16="",B16=""),"Falta la categoría",IF(AND(A16="",I16=""),"Falta cómo se vende",IF(AND(K16&lt;&gt;"",N16="",M16=""),"(opcional) sin proveedor","OK"))))))</f>
        <v/>
      </c>
    </row>
    <row r="17">
      <c r="A17" s="5" t="inlineStr">
        <is>
          <t>05537409-5ca6-46a2-a4db-19e950bade61</t>
        </is>
      </c>
      <c r="B17" s="6" t="inlineStr">
        <is>
          <t>Lanas</t>
        </is>
      </c>
      <c r="C17" s="6" t="inlineStr">
        <is>
          <t>Lana Ecological Cotton - Marca Papatya - Color Lila 505 Lote 0624 - Peso 100 gramos - 300 metros - 100% algodón</t>
        </is>
      </c>
      <c r="D17" s="6" t="inlineStr">
        <is>
          <t>Papatya</t>
        </is>
      </c>
      <c r="E17" s="6" t="inlineStr">
        <is>
          <t>Lila 505</t>
        </is>
      </c>
      <c r="F17" s="6" t="inlineStr">
        <is>
          <t>Algodón</t>
        </is>
      </c>
      <c r="G17" s="6" t="n">
        <v>100</v>
      </c>
      <c r="H17" s="6" t="n">
        <v>300</v>
      </c>
      <c r="I17" s="6" t="inlineStr">
        <is>
          <t>Por ovillo y por gramo</t>
        </is>
      </c>
      <c r="J17" s="6" t="inlineStr">
        <is>
          <t>Sí</t>
        </is>
      </c>
      <c r="K17" s="7" t="n"/>
      <c r="L17" s="8" t="n"/>
      <c r="M17" s="6" t="n"/>
      <c r="N17" s="6" t="n"/>
      <c r="O17" s="9" t="n"/>
      <c r="P17" s="6" t="n"/>
      <c r="Q17" s="6" t="n">
        <v>0</v>
      </c>
      <c r="R17" s="10" t="inlineStr">
        <is>
          <t>$120 por unidad</t>
        </is>
      </c>
      <c r="S17" s="6" t="n"/>
      <c r="T17">
        <f>IF(C17="","",IF(AND(K17&lt;&gt;"",L17=""),"Falta el costo",IF(AND(LEFT(I17,6)="Por ov",K17&lt;&gt;"",G17=""),"Falta el peso del ovillo",IF(AND(A17="",B17=""),"Falta la categoría",IF(AND(A17="",I17=""),"Falta cómo se vende",IF(AND(K17&lt;&gt;"",N17="",M17=""),"(opcional) sin proveedor","OK"))))))</f>
        <v/>
      </c>
    </row>
    <row r="18">
      <c r="A18" s="5" t="inlineStr">
        <is>
          <t>02445c6c-5f9e-4310-8893-d64a28efa8da</t>
        </is>
      </c>
      <c r="B18" s="6" t="inlineStr">
        <is>
          <t>Lanas</t>
        </is>
      </c>
      <c r="C18" s="6" t="inlineStr">
        <is>
          <t>Lana Ecological Cotton - Marca Papatya - Color Magenta 503 Lote 0125 - Peso 100 gramos - 300 metros - 100% algodón</t>
        </is>
      </c>
      <c r="D18" s="6" t="inlineStr">
        <is>
          <t>Papatya</t>
        </is>
      </c>
      <c r="E18" s="6" t="inlineStr">
        <is>
          <t>Magenta 503</t>
        </is>
      </c>
      <c r="F18" s="6" t="inlineStr">
        <is>
          <t>Algodón</t>
        </is>
      </c>
      <c r="G18" s="6" t="n">
        <v>100</v>
      </c>
      <c r="H18" s="6" t="n">
        <v>300</v>
      </c>
      <c r="I18" s="6" t="inlineStr">
        <is>
          <t>Por ovillo y por gramo</t>
        </is>
      </c>
      <c r="J18" s="6" t="inlineStr">
        <is>
          <t>Sí</t>
        </is>
      </c>
      <c r="K18" s="7" t="n"/>
      <c r="L18" s="8" t="n"/>
      <c r="M18" s="6" t="n"/>
      <c r="N18" s="6" t="n"/>
      <c r="O18" s="9" t="n"/>
      <c r="P18" s="6" t="n"/>
      <c r="Q18" s="6" t="n">
        <v>0</v>
      </c>
      <c r="R18" s="10" t="inlineStr">
        <is>
          <t>$120 por gramo</t>
        </is>
      </c>
      <c r="S18" s="6" t="n"/>
      <c r="T18">
        <f>IF(C18="","",IF(AND(K18&lt;&gt;"",L18=""),"Falta el costo",IF(AND(LEFT(I18,6)="Por ov",K18&lt;&gt;"",G18=""),"Falta el peso del ovillo",IF(AND(A18="",B18=""),"Falta la categoría",IF(AND(A18="",I18=""),"Falta cómo se vende",IF(AND(K18&lt;&gt;"",N18="",M18=""),"(opcional) sin proveedor","OK"))))))</f>
        <v/>
      </c>
    </row>
    <row r="19">
      <c r="A19" s="5" t="inlineStr">
        <is>
          <t>94dddeb9-6bf4-49ac-947d-23ee7b29cef7</t>
        </is>
      </c>
      <c r="B19" s="6" t="inlineStr">
        <is>
          <t>Lanas</t>
        </is>
      </c>
      <c r="C19" s="6" t="inlineStr">
        <is>
          <t>Lana Happy Chenille - Marca DMC - Color Amarillo Shade 25 - Presentación 15 gramos - 38 metros. (Chelin delgado)</t>
        </is>
      </c>
      <c r="D19" s="6" t="inlineStr">
        <is>
          <t>DMC</t>
        </is>
      </c>
      <c r="E19" s="6" t="inlineStr">
        <is>
          <t>Amarillo</t>
        </is>
      </c>
      <c r="F19" s="6" t="inlineStr">
        <is>
          <t>Chenille</t>
        </is>
      </c>
      <c r="G19" s="6" t="n">
        <v>15</v>
      </c>
      <c r="H19" s="6" t="n">
        <v>38</v>
      </c>
      <c r="I19" s="6" t="inlineStr">
        <is>
          <t>Por ovillo y por gramo</t>
        </is>
      </c>
      <c r="J19" s="6" t="inlineStr">
        <is>
          <t>Sí</t>
        </is>
      </c>
      <c r="K19" s="7" t="n"/>
      <c r="L19" s="8" t="n"/>
      <c r="M19" s="6" t="n"/>
      <c r="N19" s="6" t="n"/>
      <c r="O19" s="9" t="n"/>
      <c r="P19" s="6" t="n"/>
      <c r="Q19" s="6" t="n">
        <v>0</v>
      </c>
      <c r="R19" s="10" t="inlineStr">
        <is>
          <t>$300 por gramo</t>
        </is>
      </c>
      <c r="S19" s="6" t="n"/>
      <c r="T19">
        <f>IF(C19="","",IF(AND(K19&lt;&gt;"",L19=""),"Falta el costo",IF(AND(LEFT(I19,6)="Por ov",K19&lt;&gt;"",G19=""),"Falta el peso del ovillo",IF(AND(A19="",B19=""),"Falta la categoría",IF(AND(A19="",I19=""),"Falta cómo se vende",IF(AND(K19&lt;&gt;"",N19="",M19=""),"(opcional) sin proveedor","OK"))))))</f>
        <v/>
      </c>
    </row>
    <row r="20">
      <c r="A20" s="5" t="inlineStr">
        <is>
          <t>a4edf467-f424-4d77-b1b4-4a339ecf514d</t>
        </is>
      </c>
      <c r="B20" s="6" t="inlineStr">
        <is>
          <t>Lanas</t>
        </is>
      </c>
      <c r="C20" s="6" t="inlineStr">
        <is>
          <t>Lana Happy Chenille - Marca DMC - Color Azul Claro Shade 18 - Presentación 15 gramos - 38 metros. (Chelin delgado)</t>
        </is>
      </c>
      <c r="D20" s="6" t="inlineStr">
        <is>
          <t>DMC</t>
        </is>
      </c>
      <c r="E20" s="6" t="inlineStr">
        <is>
          <t>Azul Claro</t>
        </is>
      </c>
      <c r="F20" s="6" t="inlineStr">
        <is>
          <t>Chenille</t>
        </is>
      </c>
      <c r="G20" s="6" t="n">
        <v>15</v>
      </c>
      <c r="H20" s="6" t="n">
        <v>38</v>
      </c>
      <c r="I20" s="6" t="inlineStr">
        <is>
          <t>Por ovillo y por gramo</t>
        </is>
      </c>
      <c r="J20" s="6" t="inlineStr">
        <is>
          <t>Sí</t>
        </is>
      </c>
      <c r="K20" s="7" t="n"/>
      <c r="L20" s="8" t="n"/>
      <c r="M20" s="6" t="n"/>
      <c r="N20" s="6" t="n"/>
      <c r="O20" s="9" t="n"/>
      <c r="P20" s="6" t="n"/>
      <c r="Q20" s="6" t="n">
        <v>0</v>
      </c>
      <c r="R20" s="10" t="inlineStr">
        <is>
          <t>$300 por gramo</t>
        </is>
      </c>
      <c r="S20" s="6" t="n"/>
      <c r="T20">
        <f>IF(C20="","",IF(AND(K20&lt;&gt;"",L20=""),"Falta el costo",IF(AND(LEFT(I20,6)="Por ov",K20&lt;&gt;"",G20=""),"Falta el peso del ovillo",IF(AND(A20="",B20=""),"Falta la categoría",IF(AND(A20="",I20=""),"Falta cómo se vende",IF(AND(K20&lt;&gt;"",N20="",M20=""),"(opcional) sin proveedor","OK"))))))</f>
        <v/>
      </c>
    </row>
    <row r="21">
      <c r="A21" s="5" t="inlineStr">
        <is>
          <t>7faf9b3c-91c0-4dd5-893b-da8338579d4d</t>
        </is>
      </c>
      <c r="B21" s="6" t="inlineStr">
        <is>
          <t>Lanas</t>
        </is>
      </c>
      <c r="C21" s="6" t="inlineStr">
        <is>
          <t>Lana Happy Chenille - Marca DMC - Color Azul Shade 26 - Presentación 15 gramos - 38 metros. (Chelin delgado)</t>
        </is>
      </c>
      <c r="D21" s="6" t="inlineStr">
        <is>
          <t>DMC</t>
        </is>
      </c>
      <c r="E21" s="6" t="inlineStr">
        <is>
          <t>Azul</t>
        </is>
      </c>
      <c r="F21" s="6" t="inlineStr">
        <is>
          <t>Chenille</t>
        </is>
      </c>
      <c r="G21" s="6" t="n">
        <v>15</v>
      </c>
      <c r="H21" s="6" t="n">
        <v>38</v>
      </c>
      <c r="I21" s="6" t="inlineStr">
        <is>
          <t>Por ovillo y por gramo</t>
        </is>
      </c>
      <c r="J21" s="6" t="inlineStr">
        <is>
          <t>Sí</t>
        </is>
      </c>
      <c r="K21" s="7" t="n"/>
      <c r="L21" s="8" t="n"/>
      <c r="M21" s="6" t="n"/>
      <c r="N21" s="6" t="n"/>
      <c r="O21" s="9" t="n"/>
      <c r="P21" s="6" t="n"/>
      <c r="Q21" s="6" t="n">
        <v>0</v>
      </c>
      <c r="R21" s="10" t="inlineStr">
        <is>
          <t>$300 por gramo</t>
        </is>
      </c>
      <c r="S21" s="6" t="n"/>
      <c r="T21">
        <f>IF(C21="","",IF(AND(K21&lt;&gt;"",L21=""),"Falta el costo",IF(AND(LEFT(I21,6)="Por ov",K21&lt;&gt;"",G21=""),"Falta el peso del ovillo",IF(AND(A21="",B21=""),"Falta la categoría",IF(AND(A21="",I21=""),"Falta cómo se vende",IF(AND(K21&lt;&gt;"",N21="",M21=""),"(opcional) sin proveedor","OK"))))))</f>
        <v/>
      </c>
    </row>
    <row r="22">
      <c r="A22" s="5" t="inlineStr">
        <is>
          <t>9bfed63a-5bc2-418e-9c21-1e37af709a9d</t>
        </is>
      </c>
      <c r="B22" s="6" t="inlineStr">
        <is>
          <t>Lanas</t>
        </is>
      </c>
      <c r="C22" s="6" t="inlineStr">
        <is>
          <t>Lana Happy Chenille - Marca DMC - Color Blanco Shade 11 - Presentación 15 gramos - 38 metros (Chelin delgado)</t>
        </is>
      </c>
      <c r="D22" s="6" t="inlineStr">
        <is>
          <t>DMC</t>
        </is>
      </c>
      <c r="E22" s="6" t="inlineStr">
        <is>
          <t>Blanco</t>
        </is>
      </c>
      <c r="F22" s="6" t="inlineStr">
        <is>
          <t>Chenille</t>
        </is>
      </c>
      <c r="G22" s="6" t="n">
        <v>15</v>
      </c>
      <c r="H22" s="6" t="n">
        <v>38</v>
      </c>
      <c r="I22" s="6" t="inlineStr">
        <is>
          <t>Por ovillo y por gramo</t>
        </is>
      </c>
      <c r="J22" s="6" t="inlineStr">
        <is>
          <t>Sí</t>
        </is>
      </c>
      <c r="K22" s="7" t="n"/>
      <c r="L22" s="8" t="n"/>
      <c r="M22" s="6" t="n"/>
      <c r="N22" s="6" t="n"/>
      <c r="O22" s="9" t="n"/>
      <c r="P22" s="6" t="n"/>
      <c r="Q22" s="6" t="n">
        <v>0</v>
      </c>
      <c r="R22" s="10" t="inlineStr">
        <is>
          <t>$300 por gramo</t>
        </is>
      </c>
      <c r="S22" s="6" t="n"/>
      <c r="T22">
        <f>IF(C22="","",IF(AND(K22&lt;&gt;"",L22=""),"Falta el costo",IF(AND(LEFT(I22,6)="Por ov",K22&lt;&gt;"",G22=""),"Falta el peso del ovillo",IF(AND(A22="",B22=""),"Falta la categoría",IF(AND(A22="",I22=""),"Falta cómo se vende",IF(AND(K22&lt;&gt;"",N22="",M22=""),"(opcional) sin proveedor","OK"))))))</f>
        <v/>
      </c>
    </row>
    <row r="23">
      <c r="A23" s="5" t="inlineStr">
        <is>
          <t>f0c56594-6114-41ef-87ed-461063a48fa4</t>
        </is>
      </c>
      <c r="B23" s="6" t="inlineStr">
        <is>
          <t>Lanas</t>
        </is>
      </c>
      <c r="C23" s="6" t="inlineStr">
        <is>
          <t>Lana Happy Chenille - Marca DMC - Color Fucsia Shade 24- Presentación 15 gramos - 38 metros. (Chelin delgado)</t>
        </is>
      </c>
      <c r="D23" s="6" t="inlineStr">
        <is>
          <t>DMC</t>
        </is>
      </c>
      <c r="E23" s="6" t="inlineStr">
        <is>
          <t>Fucsia</t>
        </is>
      </c>
      <c r="F23" s="6" t="inlineStr">
        <is>
          <t>Chenille</t>
        </is>
      </c>
      <c r="G23" s="6" t="n">
        <v>15</v>
      </c>
      <c r="H23" s="6" t="n">
        <v>38</v>
      </c>
      <c r="I23" s="6" t="inlineStr">
        <is>
          <t>Por ovillo y por gramo</t>
        </is>
      </c>
      <c r="J23" s="6" t="inlineStr">
        <is>
          <t>Sí</t>
        </is>
      </c>
      <c r="K23" s="7" t="n"/>
      <c r="L23" s="8" t="n"/>
      <c r="M23" s="6" t="n"/>
      <c r="N23" s="6" t="n"/>
      <c r="O23" s="9" t="n"/>
      <c r="P23" s="6" t="n"/>
      <c r="Q23" s="6" t="n">
        <v>0</v>
      </c>
      <c r="R23" s="10" t="inlineStr">
        <is>
          <t>$300 por gramo</t>
        </is>
      </c>
      <c r="S23" s="6" t="n"/>
      <c r="T23">
        <f>IF(C23="","",IF(AND(K23&lt;&gt;"",L23=""),"Falta el costo",IF(AND(LEFT(I23,6)="Por ov",K23&lt;&gt;"",G23=""),"Falta el peso del ovillo",IF(AND(A23="",B23=""),"Falta la categoría",IF(AND(A23="",I23=""),"Falta cómo se vende",IF(AND(K23&lt;&gt;"",N23="",M23=""),"(opcional) sin proveedor","OK"))))))</f>
        <v/>
      </c>
    </row>
    <row r="24">
      <c r="A24" s="5" t="inlineStr">
        <is>
          <t>0d4b6396-4977-43bf-b620-3eb18f8ab1ab</t>
        </is>
      </c>
      <c r="B24" s="6" t="inlineStr">
        <is>
          <t>Lanas</t>
        </is>
      </c>
      <c r="C24" s="6" t="inlineStr">
        <is>
          <t>Lana Happy Chenille - Marca DMC - Color Magenta Shade 31 - Presentación 15 gramos - 38 metros. (Chelin delgado)</t>
        </is>
      </c>
      <c r="D24" s="6" t="inlineStr">
        <is>
          <t>DMC</t>
        </is>
      </c>
      <c r="E24" s="6" t="inlineStr">
        <is>
          <t>Magenta</t>
        </is>
      </c>
      <c r="F24" s="6" t="inlineStr">
        <is>
          <t>Chenille</t>
        </is>
      </c>
      <c r="G24" s="6" t="n">
        <v>15</v>
      </c>
      <c r="H24" s="6" t="n">
        <v>38</v>
      </c>
      <c r="I24" s="6" t="inlineStr">
        <is>
          <t>Por ovillo y por gramo</t>
        </is>
      </c>
      <c r="J24" s="6" t="inlineStr">
        <is>
          <t>Sí</t>
        </is>
      </c>
      <c r="K24" s="7" t="n"/>
      <c r="L24" s="8" t="n"/>
      <c r="M24" s="6" t="n"/>
      <c r="N24" s="6" t="n"/>
      <c r="O24" s="9" t="n"/>
      <c r="P24" s="6" t="n"/>
      <c r="Q24" s="6" t="n">
        <v>0</v>
      </c>
      <c r="R24" s="10" t="inlineStr">
        <is>
          <t>$300 por gramo</t>
        </is>
      </c>
      <c r="S24" s="6" t="n"/>
      <c r="T24">
        <f>IF(C24="","",IF(AND(K24&lt;&gt;"",L24=""),"Falta el costo",IF(AND(LEFT(I24,6)="Por ov",K24&lt;&gt;"",G24=""),"Falta el peso del ovillo",IF(AND(A24="",B24=""),"Falta la categoría",IF(AND(A24="",I24=""),"Falta cómo se vende",IF(AND(K24&lt;&gt;"",N24="",M24=""),"(opcional) sin proveedor","OK"))))))</f>
        <v/>
      </c>
    </row>
    <row r="25">
      <c r="A25" s="5" t="inlineStr">
        <is>
          <t>4bc2d835-cff3-4a7f-b604-f94505976982</t>
        </is>
      </c>
      <c r="B25" s="6" t="inlineStr">
        <is>
          <t>Lanas</t>
        </is>
      </c>
      <c r="C25" s="6" t="inlineStr">
        <is>
          <t>Lana Happy Chenille - Marca DMC - Color Morado Shade 33 - Presentación 15 gramos - 38 metros. (Chelin delgado)</t>
        </is>
      </c>
      <c r="D25" s="6" t="inlineStr">
        <is>
          <t>DMC</t>
        </is>
      </c>
      <c r="E25" s="6" t="inlineStr">
        <is>
          <t>Morado</t>
        </is>
      </c>
      <c r="F25" s="6" t="inlineStr">
        <is>
          <t>Chenille</t>
        </is>
      </c>
      <c r="G25" s="6" t="n">
        <v>15</v>
      </c>
      <c r="H25" s="6" t="n">
        <v>38</v>
      </c>
      <c r="I25" s="6" t="inlineStr">
        <is>
          <t>Por ovillo y por gramo</t>
        </is>
      </c>
      <c r="J25" s="6" t="inlineStr">
        <is>
          <t>Sí</t>
        </is>
      </c>
      <c r="K25" s="7" t="n"/>
      <c r="L25" s="8" t="n"/>
      <c r="M25" s="6" t="n"/>
      <c r="N25" s="6" t="n"/>
      <c r="O25" s="9" t="n"/>
      <c r="P25" s="6" t="n"/>
      <c r="Q25" s="6" t="n">
        <v>0</v>
      </c>
      <c r="R25" s="10" t="inlineStr">
        <is>
          <t>$300 por gramo</t>
        </is>
      </c>
      <c r="S25" s="6" t="n"/>
      <c r="T25">
        <f>IF(C25="","",IF(AND(K25&lt;&gt;"",L25=""),"Falta el costo",IF(AND(LEFT(I25,6)="Por ov",K25&lt;&gt;"",G25=""),"Falta el peso del ovillo",IF(AND(A25="",B25=""),"Falta la categoría",IF(AND(A25="",I25=""),"Falta cómo se vende",IF(AND(K25&lt;&gt;"",N25="",M25=""),"(opcional) sin proveedor","OK"))))))</f>
        <v/>
      </c>
    </row>
    <row r="26">
      <c r="A26" s="5" t="inlineStr">
        <is>
          <t>118e6b22-8e81-4c22-8f3b-eae81405fbc5</t>
        </is>
      </c>
      <c r="B26" s="6" t="inlineStr">
        <is>
          <t>Lanas</t>
        </is>
      </c>
      <c r="C26" s="6" t="inlineStr">
        <is>
          <t>Lana Happy Chenille - Marca DMC - Color Negro Shade 22 - Presentación 15 gramos - 38 metros. (Chelin delgado)</t>
        </is>
      </c>
      <c r="D26" s="6" t="inlineStr">
        <is>
          <t>DMC</t>
        </is>
      </c>
      <c r="E26" s="6" t="inlineStr">
        <is>
          <t>Negro</t>
        </is>
      </c>
      <c r="F26" s="6" t="inlineStr">
        <is>
          <t>Chenille</t>
        </is>
      </c>
      <c r="G26" s="6" t="n">
        <v>15</v>
      </c>
      <c r="H26" s="6" t="n">
        <v>38</v>
      </c>
      <c r="I26" s="6" t="inlineStr">
        <is>
          <t>Por ovillo y por gramo</t>
        </is>
      </c>
      <c r="J26" s="6" t="inlineStr">
        <is>
          <t>Sí</t>
        </is>
      </c>
      <c r="K26" s="7" t="n"/>
      <c r="L26" s="8" t="n"/>
      <c r="M26" s="6" t="n"/>
      <c r="N26" s="6" t="n"/>
      <c r="O26" s="9" t="n"/>
      <c r="P26" s="6" t="n"/>
      <c r="Q26" s="6" t="n">
        <v>0</v>
      </c>
      <c r="R26" s="10" t="inlineStr">
        <is>
          <t>$300 por gramo</t>
        </is>
      </c>
      <c r="S26" s="6" t="n"/>
      <c r="T26">
        <f>IF(C26="","",IF(AND(K26&lt;&gt;"",L26=""),"Falta el costo",IF(AND(LEFT(I26,6)="Por ov",K26&lt;&gt;"",G26=""),"Falta el peso del ovillo",IF(AND(A26="",B26=""),"Falta la categoría",IF(AND(A26="",I26=""),"Falta cómo se vende",IF(AND(K26&lt;&gt;"",N26="",M26=""),"(opcional) sin proveedor","OK"))))))</f>
        <v/>
      </c>
    </row>
    <row r="27">
      <c r="A27" s="5" t="inlineStr">
        <is>
          <t>e037de33-56bf-4e39-a50a-04b2c1977a38</t>
        </is>
      </c>
      <c r="B27" s="6" t="inlineStr">
        <is>
          <t>Lanas</t>
        </is>
      </c>
      <c r="C27" s="6" t="inlineStr">
        <is>
          <t>Lana Happy Chenille - Marca DMC - Color Rosado Shade 15 - Presentación 15 gramos - 38 metros. (Chelin delgado)</t>
        </is>
      </c>
      <c r="D27" s="6" t="inlineStr">
        <is>
          <t>DMC</t>
        </is>
      </c>
      <c r="E27" s="6" t="inlineStr">
        <is>
          <t>Rosado</t>
        </is>
      </c>
      <c r="F27" s="6" t="inlineStr">
        <is>
          <t>Chenille</t>
        </is>
      </c>
      <c r="G27" s="6" t="n">
        <v>15</v>
      </c>
      <c r="H27" s="6" t="n">
        <v>38</v>
      </c>
      <c r="I27" s="6" t="inlineStr">
        <is>
          <t>Por ovillo y por gramo</t>
        </is>
      </c>
      <c r="J27" s="6" t="inlineStr">
        <is>
          <t>Sí</t>
        </is>
      </c>
      <c r="K27" s="7" t="n"/>
      <c r="L27" s="8" t="n"/>
      <c r="M27" s="6" t="n"/>
      <c r="N27" s="6" t="n"/>
      <c r="O27" s="9" t="n"/>
      <c r="P27" s="6" t="n"/>
      <c r="Q27" s="6" t="n">
        <v>0</v>
      </c>
      <c r="R27" s="10" t="inlineStr">
        <is>
          <t>$300 por gramo</t>
        </is>
      </c>
      <c r="S27" s="6" t="n"/>
      <c r="T27">
        <f>IF(C27="","",IF(AND(K27&lt;&gt;"",L27=""),"Falta el costo",IF(AND(LEFT(I27,6)="Por ov",K27&lt;&gt;"",G27=""),"Falta el peso del ovillo",IF(AND(A27="",B27=""),"Falta la categoría",IF(AND(A27="",I27=""),"Falta cómo se vende",IF(AND(K27&lt;&gt;"",N27="",M27=""),"(opcional) sin proveedor","OK"))))))</f>
        <v/>
      </c>
    </row>
    <row r="28">
      <c r="A28" s="5" t="inlineStr">
        <is>
          <t>54c5e509-7d74-4356-aedf-38dc6c6f0186</t>
        </is>
      </c>
      <c r="B28" s="6" t="inlineStr">
        <is>
          <t>Lanas</t>
        </is>
      </c>
      <c r="C28" s="6" t="inlineStr">
        <is>
          <t>Lana Happy Chenille - Marca DMC - Color Turquesa Shade 30 - Presentación 15 gramos - 38 metros. (Chelin delgado)</t>
        </is>
      </c>
      <c r="D28" s="6" t="inlineStr">
        <is>
          <t>DMC</t>
        </is>
      </c>
      <c r="E28" s="6" t="inlineStr">
        <is>
          <t>Turquesa</t>
        </is>
      </c>
      <c r="F28" s="6" t="inlineStr">
        <is>
          <t>Chenille</t>
        </is>
      </c>
      <c r="G28" s="6" t="n">
        <v>15</v>
      </c>
      <c r="H28" s="6" t="n">
        <v>38</v>
      </c>
      <c r="I28" s="6" t="inlineStr">
        <is>
          <t>Por ovillo y por gramo</t>
        </is>
      </c>
      <c r="J28" s="6" t="inlineStr">
        <is>
          <t>Sí</t>
        </is>
      </c>
      <c r="K28" s="7" t="n"/>
      <c r="L28" s="8" t="n"/>
      <c r="M28" s="6" t="n"/>
      <c r="N28" s="6" t="n"/>
      <c r="O28" s="9" t="n"/>
      <c r="P28" s="6" t="n"/>
      <c r="Q28" s="6" t="n">
        <v>0</v>
      </c>
      <c r="R28" s="10" t="inlineStr">
        <is>
          <t>$300 por gramo</t>
        </is>
      </c>
      <c r="S28" s="6" t="n"/>
      <c r="T28">
        <f>IF(C28="","",IF(AND(K28&lt;&gt;"",L28=""),"Falta el costo",IF(AND(LEFT(I28,6)="Por ov",K28&lt;&gt;"",G28=""),"Falta el peso del ovillo",IF(AND(A28="",B28=""),"Falta la categoría",IF(AND(A28="",I28=""),"Falta cómo se vende",IF(AND(K28&lt;&gt;"",N28="",M28=""),"(opcional) sin proveedor","OK"))))))</f>
        <v/>
      </c>
    </row>
    <row r="29">
      <c r="A29" s="5" t="inlineStr">
        <is>
          <t>2b559ba3-d848-4afa-8318-6f163d2ed770</t>
        </is>
      </c>
      <c r="B29" s="6" t="inlineStr">
        <is>
          <t>Lanas</t>
        </is>
      </c>
      <c r="C29" s="6" t="inlineStr">
        <is>
          <t>Lana Happy Chenille - Marca DMC - Color Verde claro Shade 27 - Presentación 15 gramos - 38 metros. (Chelin delgado)</t>
        </is>
      </c>
      <c r="D29" s="6" t="inlineStr">
        <is>
          <t>DMC</t>
        </is>
      </c>
      <c r="E29" s="6" t="inlineStr">
        <is>
          <t>Verde claro</t>
        </is>
      </c>
      <c r="F29" s="6" t="inlineStr">
        <is>
          <t>Chenille</t>
        </is>
      </c>
      <c r="G29" s="6" t="n">
        <v>15</v>
      </c>
      <c r="H29" s="6" t="n">
        <v>38</v>
      </c>
      <c r="I29" s="6" t="inlineStr">
        <is>
          <t>Por ovillo y por gramo</t>
        </is>
      </c>
      <c r="J29" s="6" t="inlineStr">
        <is>
          <t>Sí</t>
        </is>
      </c>
      <c r="K29" s="7" t="n"/>
      <c r="L29" s="8" t="n"/>
      <c r="M29" s="6" t="n"/>
      <c r="N29" s="6" t="n"/>
      <c r="O29" s="9" t="n"/>
      <c r="P29" s="6" t="n"/>
      <c r="Q29" s="6" t="n">
        <v>0</v>
      </c>
      <c r="R29" s="10" t="inlineStr">
        <is>
          <t>$300 por gramo</t>
        </is>
      </c>
      <c r="S29" s="6" t="n"/>
      <c r="T29">
        <f>IF(C29="","",IF(AND(K29&lt;&gt;"",L29=""),"Falta el costo",IF(AND(LEFT(I29,6)="Por ov",K29&lt;&gt;"",G29=""),"Falta el peso del ovillo",IF(AND(A29="",B29=""),"Falta la categoría",IF(AND(A29="",I29=""),"Falta cómo se vende",IF(AND(K29&lt;&gt;"",N29="",M29=""),"(opcional) sin proveedor","OK"))))))</f>
        <v/>
      </c>
    </row>
    <row r="30">
      <c r="A30" s="5" t="inlineStr">
        <is>
          <t>17f67965-dcce-4065-9beb-faed0de72811</t>
        </is>
      </c>
      <c r="B30" s="6" t="inlineStr">
        <is>
          <t>Lanas</t>
        </is>
      </c>
      <c r="C30" s="6" t="inlineStr">
        <is>
          <t>Lana Happy Chenille - Marca DMC - Color Verde Gris Shade 23 - Presentación 15 gramos - 38 metros. (Chelin delgado)</t>
        </is>
      </c>
      <c r="D30" s="6" t="inlineStr">
        <is>
          <t>DMC</t>
        </is>
      </c>
      <c r="E30" s="6" t="inlineStr">
        <is>
          <t>Verde Gris</t>
        </is>
      </c>
      <c r="F30" s="6" t="inlineStr">
        <is>
          <t>Chenille</t>
        </is>
      </c>
      <c r="G30" s="6" t="n">
        <v>15</v>
      </c>
      <c r="H30" s="6" t="n">
        <v>38</v>
      </c>
      <c r="I30" s="6" t="inlineStr">
        <is>
          <t>Por ovillo y por gramo</t>
        </is>
      </c>
      <c r="J30" s="6" t="inlineStr">
        <is>
          <t>Sí</t>
        </is>
      </c>
      <c r="K30" s="7" t="n"/>
      <c r="L30" s="8" t="n"/>
      <c r="M30" s="6" t="n"/>
      <c r="N30" s="6" t="n"/>
      <c r="O30" s="9" t="n"/>
      <c r="P30" s="6" t="n"/>
      <c r="Q30" s="6" t="n">
        <v>0</v>
      </c>
      <c r="R30" s="10" t="inlineStr">
        <is>
          <t>$300 por gramo</t>
        </is>
      </c>
      <c r="S30" s="6" t="n"/>
      <c r="T30">
        <f>IF(C30="","",IF(AND(K30&lt;&gt;"",L30=""),"Falta el costo",IF(AND(LEFT(I30,6)="Por ov",K30&lt;&gt;"",G30=""),"Falta el peso del ovillo",IF(AND(A30="",B30=""),"Falta la categoría",IF(AND(A30="",I30=""),"Falta cómo se vende",IF(AND(K30&lt;&gt;"",N30="",M30=""),"(opcional) sin proveedor","OK"))))))</f>
        <v/>
      </c>
    </row>
    <row r="31">
      <c r="A31" s="5" t="inlineStr">
        <is>
          <t>0fee09b9-3677-46ea-975c-0a2a5fdb1018</t>
        </is>
      </c>
      <c r="B31" s="6" t="inlineStr">
        <is>
          <t>Lanas</t>
        </is>
      </c>
      <c r="C31" s="6" t="inlineStr">
        <is>
          <t>Lana Papatya Love - Marca Papatya - Color Azul Claro 5050 Lote 1224 - Peso 100 gramos - 360 metros - 100% acrilico</t>
        </is>
      </c>
      <c r="D31" s="6" t="inlineStr">
        <is>
          <t>Papatya</t>
        </is>
      </c>
      <c r="E31" s="6" t="inlineStr">
        <is>
          <t>Azul Claro 5050</t>
        </is>
      </c>
      <c r="F31" s="6" t="inlineStr">
        <is>
          <t>Acrilico</t>
        </is>
      </c>
      <c r="G31" s="6" t="n">
        <v>100</v>
      </c>
      <c r="H31" s="6" t="n">
        <v>360</v>
      </c>
      <c r="I31" s="6" t="inlineStr">
        <is>
          <t>Por ovillo y por gramo</t>
        </is>
      </c>
      <c r="J31" s="6" t="inlineStr">
        <is>
          <t>Sí</t>
        </is>
      </c>
      <c r="K31" s="7" t="n"/>
      <c r="L31" s="8" t="n"/>
      <c r="M31" s="6" t="n"/>
      <c r="N31" s="6" t="n"/>
      <c r="O31" s="9" t="n"/>
      <c r="P31" s="6" t="n"/>
      <c r="Q31" s="6" t="n">
        <v>0</v>
      </c>
      <c r="R31" s="10" t="inlineStr">
        <is>
          <t>$130 por gramo</t>
        </is>
      </c>
      <c r="S31" s="6" t="n"/>
      <c r="T31">
        <f>IF(C31="","",IF(AND(K31&lt;&gt;"",L31=""),"Falta el costo",IF(AND(LEFT(I31,6)="Por ov",K31&lt;&gt;"",G31=""),"Falta el peso del ovillo",IF(AND(A31="",B31=""),"Falta la categoría",IF(AND(A31="",I31=""),"Falta cómo se vende",IF(AND(K31&lt;&gt;"",N31="",M31=""),"(opcional) sin proveedor","OK"))))))</f>
        <v/>
      </c>
    </row>
    <row r="32">
      <c r="A32" s="5" t="inlineStr">
        <is>
          <t>c62ba878-9c12-4286-af98-1f56505be0e2</t>
        </is>
      </c>
      <c r="B32" s="6" t="inlineStr">
        <is>
          <t>Lanas</t>
        </is>
      </c>
      <c r="C32" s="6" t="inlineStr">
        <is>
          <t>Lana Papatya Love - Marca Papatya - Color Morado 4550 Lote 1020 - Peso 100 gramos - 360 metros - 100% acrilico</t>
        </is>
      </c>
      <c r="D32" s="6" t="inlineStr">
        <is>
          <t>Papatya</t>
        </is>
      </c>
      <c r="E32" s="6" t="inlineStr">
        <is>
          <t>Morado 4550</t>
        </is>
      </c>
      <c r="F32" s="6" t="inlineStr">
        <is>
          <t>Acrilico</t>
        </is>
      </c>
      <c r="G32" s="6" t="n">
        <v>100</v>
      </c>
      <c r="H32" s="6" t="n">
        <v>360</v>
      </c>
      <c r="I32" s="6" t="inlineStr">
        <is>
          <t>Por ovillo y por gramo</t>
        </is>
      </c>
      <c r="J32" s="6" t="inlineStr">
        <is>
          <t>Sí</t>
        </is>
      </c>
      <c r="K32" s="7" t="n"/>
      <c r="L32" s="8" t="n"/>
      <c r="M32" s="6" t="n"/>
      <c r="N32" s="6" t="n"/>
      <c r="O32" s="9" t="n"/>
      <c r="P32" s="6" t="n"/>
      <c r="Q32" s="6" t="n">
        <v>0</v>
      </c>
      <c r="R32" s="10" t="inlineStr">
        <is>
          <t>$130 por gramo</t>
        </is>
      </c>
      <c r="S32" s="6" t="n"/>
      <c r="T32">
        <f>IF(C32="","",IF(AND(K32&lt;&gt;"",L32=""),"Falta el costo",IF(AND(LEFT(I32,6)="Por ov",K32&lt;&gt;"",G32=""),"Falta el peso del ovillo",IF(AND(A32="",B32=""),"Falta la categoría",IF(AND(A32="",I32=""),"Falta cómo se vende",IF(AND(K32&lt;&gt;"",N32="",M32=""),"(opcional) sin proveedor","OK"))))))</f>
        <v/>
      </c>
    </row>
    <row r="33">
      <c r="A33" s="5" t="inlineStr">
        <is>
          <t>1e7e1483-409c-45e7-8a64-105acee681b9</t>
        </is>
      </c>
      <c r="B33" s="6" t="inlineStr">
        <is>
          <t>Lanas</t>
        </is>
      </c>
      <c r="C33" s="6" t="inlineStr">
        <is>
          <t>Lana Papatya Love - Marca Papatya - Color Rosado Claro 4020 Lote 1020 - Peso 100 gramos - 360 metros - 100% acrilico</t>
        </is>
      </c>
      <c r="D33" s="6" t="inlineStr">
        <is>
          <t>Papatya</t>
        </is>
      </c>
      <c r="E33" s="6" t="inlineStr">
        <is>
          <t>Rosado Claro 4020</t>
        </is>
      </c>
      <c r="F33" s="6" t="inlineStr">
        <is>
          <t>Acrilico</t>
        </is>
      </c>
      <c r="G33" s="6" t="n">
        <v>100</v>
      </c>
      <c r="H33" s="6" t="n">
        <v>360</v>
      </c>
      <c r="I33" s="6" t="inlineStr">
        <is>
          <t>Por ovillo y por gramo</t>
        </is>
      </c>
      <c r="J33" s="6" t="inlineStr">
        <is>
          <t>Sí</t>
        </is>
      </c>
      <c r="K33" s="7" t="n"/>
      <c r="L33" s="8" t="n"/>
      <c r="M33" s="6" t="n"/>
      <c r="N33" s="6" t="n"/>
      <c r="O33" s="9" t="n"/>
      <c r="P33" s="6" t="n"/>
      <c r="Q33" s="6" t="n">
        <v>0</v>
      </c>
      <c r="R33" s="10" t="inlineStr">
        <is>
          <t>$130 por gramo</t>
        </is>
      </c>
      <c r="S33" s="6" t="n"/>
      <c r="T33">
        <f>IF(C33="","",IF(AND(K33&lt;&gt;"",L33=""),"Falta el costo",IF(AND(LEFT(I33,6)="Por ov",K33&lt;&gt;"",G33=""),"Falta el peso del ovillo",IF(AND(A33="",B33=""),"Falta la categoría",IF(AND(A33="",I33=""),"Falta cómo se vende",IF(AND(K33&lt;&gt;"",N33="",M33=""),"(opcional) sin proveedor","OK"))))))</f>
        <v/>
      </c>
    </row>
    <row r="34">
      <c r="A34" s="5" t="inlineStr">
        <is>
          <t>f218212f-91b6-402c-a251-c377484a8dae</t>
        </is>
      </c>
      <c r="B34" s="6" t="inlineStr">
        <is>
          <t>Lanas</t>
        </is>
      </c>
      <c r="C34" s="6" t="inlineStr">
        <is>
          <t>Lana Papatya Love - Marca Papatya - Color Verde Esmeralda 6550 Lote 1020 - Peso 100 gramos - 360 metros - 100% acrilico</t>
        </is>
      </c>
      <c r="D34" s="6" t="inlineStr">
        <is>
          <t>Papatya</t>
        </is>
      </c>
      <c r="E34" s="6" t="inlineStr">
        <is>
          <t>Verde Esmeralda 6550</t>
        </is>
      </c>
      <c r="F34" s="6" t="inlineStr">
        <is>
          <t>Acrilico</t>
        </is>
      </c>
      <c r="G34" s="6" t="n">
        <v>100</v>
      </c>
      <c r="H34" s="6" t="n">
        <v>360</v>
      </c>
      <c r="I34" s="6" t="inlineStr">
        <is>
          <t>Por ovillo y por gramo</t>
        </is>
      </c>
      <c r="J34" s="6" t="inlineStr">
        <is>
          <t>Sí</t>
        </is>
      </c>
      <c r="K34" s="7" t="n"/>
      <c r="L34" s="8" t="n"/>
      <c r="M34" s="6" t="n"/>
      <c r="N34" s="6" t="n"/>
      <c r="O34" s="9" t="n"/>
      <c r="P34" s="6" t="n"/>
      <c r="Q34" s="6" t="n">
        <v>0</v>
      </c>
      <c r="R34" s="10" t="inlineStr">
        <is>
          <t>$130 por gramo</t>
        </is>
      </c>
      <c r="S34" s="6" t="n"/>
      <c r="T34">
        <f>IF(C34="","",IF(AND(K34&lt;&gt;"",L34=""),"Falta el costo",IF(AND(LEFT(I34,6)="Por ov",K34&lt;&gt;"",G34=""),"Falta el peso del ovillo",IF(AND(A34="",B34=""),"Falta la categoría",IF(AND(A34="",I34=""),"Falta cómo se vende",IF(AND(K34&lt;&gt;"",N34="",M34=""),"(opcional) sin proveedor","OK"))))))</f>
        <v/>
      </c>
    </row>
    <row r="35">
      <c r="A35" s="5" t="inlineStr">
        <is>
          <t>7bf0ca4b-53da-438c-9a67-8112f9a8d1b8</t>
        </is>
      </c>
      <c r="B35" s="6" t="inlineStr">
        <is>
          <t>Lanas</t>
        </is>
      </c>
      <c r="C35" s="6" t="inlineStr">
        <is>
          <t>Lana Polar - Marca Kusi Kusi - Color Blanco 03  Lote 250628 - Peso 100 gramos - 55 metros - 100% poliester</t>
        </is>
      </c>
      <c r="D35" s="6" t="inlineStr">
        <is>
          <t>Kusi Kusi</t>
        </is>
      </c>
      <c r="E35" s="6" t="inlineStr">
        <is>
          <t>Blanco 03</t>
        </is>
      </c>
      <c r="F35" s="6" t="inlineStr">
        <is>
          <t>Poliester</t>
        </is>
      </c>
      <c r="G35" s="6" t="n">
        <v>100</v>
      </c>
      <c r="H35" s="6" t="n">
        <v>55</v>
      </c>
      <c r="I35" s="6" t="inlineStr">
        <is>
          <t>Por ovillo y por gramo</t>
        </is>
      </c>
      <c r="J35" s="6" t="inlineStr">
        <is>
          <t>Sí</t>
        </is>
      </c>
      <c r="K35" s="7" t="n"/>
      <c r="L35" s="8" t="n"/>
      <c r="M35" s="6" t="n"/>
      <c r="N35" s="6" t="n"/>
      <c r="O35" s="9" t="n"/>
      <c r="P35" s="6" t="n"/>
      <c r="Q35" s="6" t="n">
        <v>0</v>
      </c>
      <c r="R35" s="10" t="inlineStr">
        <is>
          <t>$130 por gramo</t>
        </is>
      </c>
      <c r="S35" s="6" t="n"/>
      <c r="T35">
        <f>IF(C35="","",IF(AND(K35&lt;&gt;"",L35=""),"Falta el costo",IF(AND(LEFT(I35,6)="Por ov",K35&lt;&gt;"",G35=""),"Falta el peso del ovillo",IF(AND(A35="",B35=""),"Falta la categoría",IF(AND(A35="",I35=""),"Falta cómo se vende",IF(AND(K35&lt;&gt;"",N35="",M35=""),"(opcional) sin proveedor","OK"))))))</f>
        <v/>
      </c>
    </row>
    <row r="36">
      <c r="A36" s="11" t="n"/>
      <c r="B36" s="6" t="n"/>
      <c r="C36" s="6" t="n"/>
      <c r="D36" s="6" t="n"/>
      <c r="E36" s="6" t="n"/>
      <c r="F36" s="6" t="n"/>
      <c r="G36" s="6" t="n"/>
      <c r="H36" s="6" t="n"/>
      <c r="I36" s="6" t="n"/>
      <c r="J36" s="6" t="n"/>
      <c r="K36" s="7" t="n"/>
      <c r="L36" s="8" t="n"/>
      <c r="M36" s="6" t="n"/>
      <c r="N36" s="6" t="n"/>
      <c r="O36" s="9" t="n"/>
      <c r="P36" s="6" t="n"/>
      <c r="Q36" s="6" t="n"/>
      <c r="R36" s="6" t="n"/>
      <c r="S36" s="6" t="n"/>
      <c r="T36">
        <f>IF(C36="","",IF(AND(K36&lt;&gt;"",L36=""),"Falta el costo",IF(AND(LEFT(I36,6)="Por ov",K36&lt;&gt;"",G36=""),"Falta el peso del ovillo",IF(AND(A36="",B36=""),"Falta la categoría",IF(AND(A36="",I36=""),"Falta cómo se vende",IF(AND(K36&lt;&gt;"",N36="",M36=""),"(opcional) sin proveedor","OK"))))))</f>
        <v/>
      </c>
    </row>
    <row r="37">
      <c r="A37" s="11" t="n"/>
      <c r="B37" s="6" t="n"/>
      <c r="C37" s="6" t="n"/>
      <c r="D37" s="6" t="n"/>
      <c r="E37" s="6" t="n"/>
      <c r="F37" s="6" t="n"/>
      <c r="G37" s="6" t="n"/>
      <c r="H37" s="6" t="n"/>
      <c r="I37" s="6" t="n"/>
      <c r="J37" s="6" t="n"/>
      <c r="K37" s="7" t="n"/>
      <c r="L37" s="8" t="n"/>
      <c r="M37" s="6" t="n"/>
      <c r="N37" s="6" t="n"/>
      <c r="O37" s="9" t="n"/>
      <c r="P37" s="6" t="n"/>
      <c r="Q37" s="6" t="n"/>
      <c r="R37" s="6" t="n"/>
      <c r="S37" s="6" t="n"/>
      <c r="T37">
        <f>IF(C37="","",IF(AND(K37&lt;&gt;"",L37=""),"Falta el costo",IF(AND(LEFT(I37,6)="Por ov",K37&lt;&gt;"",G37=""),"Falta el peso del ovillo",IF(AND(A37="",B37=""),"Falta la categoría",IF(AND(A37="",I37=""),"Falta cómo se vende",IF(AND(K37&lt;&gt;"",N37="",M37=""),"(opcional) sin proveedor","OK"))))))</f>
        <v/>
      </c>
    </row>
    <row r="38">
      <c r="A38" s="11" t="n"/>
      <c r="B38" s="6" t="n"/>
      <c r="C38" s="6" t="n"/>
      <c r="D38" s="6" t="n"/>
      <c r="E38" s="6" t="n"/>
      <c r="F38" s="6" t="n"/>
      <c r="G38" s="6" t="n"/>
      <c r="H38" s="6" t="n"/>
      <c r="I38" s="6" t="n"/>
      <c r="J38" s="6" t="n"/>
      <c r="K38" s="7" t="n"/>
      <c r="L38" s="8" t="n"/>
      <c r="M38" s="6" t="n"/>
      <c r="N38" s="6" t="n"/>
      <c r="O38" s="9" t="n"/>
      <c r="P38" s="6" t="n"/>
      <c r="Q38" s="6" t="n"/>
      <c r="R38" s="6" t="n"/>
      <c r="S38" s="6" t="n"/>
      <c r="T38">
        <f>IF(C38="","",IF(AND(K38&lt;&gt;"",L38=""),"Falta el costo",IF(AND(LEFT(I38,6)="Por ov",K38&lt;&gt;"",G38=""),"Falta el peso del ovillo",IF(AND(A38="",B38=""),"Falta la categoría",IF(AND(A38="",I38=""),"Falta cómo se vende",IF(AND(K38&lt;&gt;"",N38="",M38=""),"(opcional) sin proveedor","OK"))))))</f>
        <v/>
      </c>
    </row>
    <row r="39">
      <c r="A39" s="11" t="n"/>
      <c r="B39" s="6" t="n"/>
      <c r="C39" s="6" t="n"/>
      <c r="D39" s="6" t="n"/>
      <c r="E39" s="6" t="n"/>
      <c r="F39" s="6" t="n"/>
      <c r="G39" s="6" t="n"/>
      <c r="H39" s="6" t="n"/>
      <c r="I39" s="6" t="n"/>
      <c r="J39" s="6" t="n"/>
      <c r="K39" s="7" t="n"/>
      <c r="L39" s="8" t="n"/>
      <c r="M39" s="6" t="n"/>
      <c r="N39" s="6" t="n"/>
      <c r="O39" s="9" t="n"/>
      <c r="P39" s="6" t="n"/>
      <c r="Q39" s="6" t="n"/>
      <c r="R39" s="6" t="n"/>
      <c r="S39" s="6" t="n"/>
      <c r="T39">
        <f>IF(C39="","",IF(AND(K39&lt;&gt;"",L39=""),"Falta el costo",IF(AND(LEFT(I39,6)="Por ov",K39&lt;&gt;"",G39=""),"Falta el peso del ovillo",IF(AND(A39="",B39=""),"Falta la categoría",IF(AND(A39="",I39=""),"Falta cómo se vende",IF(AND(K39&lt;&gt;"",N39="",M39=""),"(opcional) sin proveedor","OK"))))))</f>
        <v/>
      </c>
    </row>
    <row r="40">
      <c r="A40" s="11" t="n"/>
      <c r="B40" s="6" t="n"/>
      <c r="C40" s="6" t="n"/>
      <c r="D40" s="6" t="n"/>
      <c r="E40" s="6" t="n"/>
      <c r="F40" s="6" t="n"/>
      <c r="G40" s="6" t="n"/>
      <c r="H40" s="6" t="n"/>
      <c r="I40" s="6" t="n"/>
      <c r="J40" s="6" t="n"/>
      <c r="K40" s="7" t="n"/>
      <c r="L40" s="8" t="n"/>
      <c r="M40" s="6" t="n"/>
      <c r="N40" s="6" t="n"/>
      <c r="O40" s="9" t="n"/>
      <c r="P40" s="6" t="n"/>
      <c r="Q40" s="6" t="n"/>
      <c r="R40" s="6" t="n"/>
      <c r="S40" s="6" t="n"/>
      <c r="T40">
        <f>IF(C40="","",IF(AND(K40&lt;&gt;"",L40=""),"Falta el costo",IF(AND(LEFT(I40,6)="Por ov",K40&lt;&gt;"",G40=""),"Falta el peso del ovillo",IF(AND(A40="",B40=""),"Falta la categoría",IF(AND(A40="",I40=""),"Falta cómo se vende",IF(AND(K40&lt;&gt;"",N40="",M40=""),"(opcional) sin proveedor","OK"))))))</f>
        <v/>
      </c>
    </row>
    <row r="41">
      <c r="A41" s="11" t="n"/>
      <c r="B41" s="6" t="n"/>
      <c r="C41" s="6" t="n"/>
      <c r="D41" s="6" t="n"/>
      <c r="E41" s="6" t="n"/>
      <c r="F41" s="6" t="n"/>
      <c r="G41" s="6" t="n"/>
      <c r="H41" s="6" t="n"/>
      <c r="I41" s="6" t="n"/>
      <c r="J41" s="6" t="n"/>
      <c r="K41" s="7" t="n"/>
      <c r="L41" s="8" t="n"/>
      <c r="M41" s="6" t="n"/>
      <c r="N41" s="6" t="n"/>
      <c r="O41" s="9" t="n"/>
      <c r="P41" s="6" t="n"/>
      <c r="Q41" s="6" t="n"/>
      <c r="R41" s="6" t="n"/>
      <c r="S41" s="6" t="n"/>
      <c r="T41">
        <f>IF(C41="","",IF(AND(K41&lt;&gt;"",L41=""),"Falta el costo",IF(AND(LEFT(I41,6)="Por ov",K41&lt;&gt;"",G41=""),"Falta el peso del ovillo",IF(AND(A41="",B41=""),"Falta la categoría",IF(AND(A41="",I41=""),"Falta cómo se vende",IF(AND(K41&lt;&gt;"",N41="",M41=""),"(opcional) sin proveedor","OK"))))))</f>
        <v/>
      </c>
    </row>
    <row r="42">
      <c r="A42" s="11" t="n"/>
      <c r="B42" s="6" t="n"/>
      <c r="C42" s="6" t="n"/>
      <c r="D42" s="6" t="n"/>
      <c r="E42" s="6" t="n"/>
      <c r="F42" s="6" t="n"/>
      <c r="G42" s="6" t="n"/>
      <c r="H42" s="6" t="n"/>
      <c r="I42" s="6" t="n"/>
      <c r="J42" s="6" t="n"/>
      <c r="K42" s="7" t="n"/>
      <c r="L42" s="8" t="n"/>
      <c r="M42" s="6" t="n"/>
      <c r="N42" s="6" t="n"/>
      <c r="O42" s="9" t="n"/>
      <c r="P42" s="6" t="n"/>
      <c r="Q42" s="6" t="n"/>
      <c r="R42" s="6" t="n"/>
      <c r="S42" s="6" t="n"/>
      <c r="T42">
        <f>IF(C42="","",IF(AND(K42&lt;&gt;"",L42=""),"Falta el costo",IF(AND(LEFT(I42,6)="Por ov",K42&lt;&gt;"",G42=""),"Falta el peso del ovillo",IF(AND(A42="",B42=""),"Falta la categoría",IF(AND(A42="",I42=""),"Falta cómo se vende",IF(AND(K42&lt;&gt;"",N42="",M42=""),"(opcional) sin proveedor","OK"))))))</f>
        <v/>
      </c>
    </row>
    <row r="43">
      <c r="A43" s="11" t="n"/>
      <c r="B43" s="6" t="n"/>
      <c r="C43" s="6" t="n"/>
      <c r="D43" s="6" t="n"/>
      <c r="E43" s="6" t="n"/>
      <c r="F43" s="6" t="n"/>
      <c r="G43" s="6" t="n"/>
      <c r="H43" s="6" t="n"/>
      <c r="I43" s="6" t="n"/>
      <c r="J43" s="6" t="n"/>
      <c r="K43" s="7" t="n"/>
      <c r="L43" s="8" t="n"/>
      <c r="M43" s="6" t="n"/>
      <c r="N43" s="6" t="n"/>
      <c r="O43" s="9" t="n"/>
      <c r="P43" s="6" t="n"/>
      <c r="Q43" s="6" t="n"/>
      <c r="R43" s="6" t="n"/>
      <c r="S43" s="6" t="n"/>
      <c r="T43">
        <f>IF(C43="","",IF(AND(K43&lt;&gt;"",L43=""),"Falta el costo",IF(AND(LEFT(I43,6)="Por ov",K43&lt;&gt;"",G43=""),"Falta el peso del ovillo",IF(AND(A43="",B43=""),"Falta la categoría",IF(AND(A43="",I43=""),"Falta cómo se vende",IF(AND(K43&lt;&gt;"",N43="",M43=""),"(opcional) sin proveedor","OK"))))))</f>
        <v/>
      </c>
    </row>
    <row r="44">
      <c r="A44" s="11" t="n"/>
      <c r="B44" s="6" t="n"/>
      <c r="C44" s="6" t="n"/>
      <c r="D44" s="6" t="n"/>
      <c r="E44" s="6" t="n"/>
      <c r="F44" s="6" t="n"/>
      <c r="G44" s="6" t="n"/>
      <c r="H44" s="6" t="n"/>
      <c r="I44" s="6" t="n"/>
      <c r="J44" s="6" t="n"/>
      <c r="K44" s="7" t="n"/>
      <c r="L44" s="8" t="n"/>
      <c r="M44" s="6" t="n"/>
      <c r="N44" s="6" t="n"/>
      <c r="O44" s="9" t="n"/>
      <c r="P44" s="6" t="n"/>
      <c r="Q44" s="6" t="n"/>
      <c r="R44" s="6" t="n"/>
      <c r="S44" s="6" t="n"/>
      <c r="T44">
        <f>IF(C44="","",IF(AND(K44&lt;&gt;"",L44=""),"Falta el costo",IF(AND(LEFT(I44,6)="Por ov",K44&lt;&gt;"",G44=""),"Falta el peso del ovillo",IF(AND(A44="",B44=""),"Falta la categoría",IF(AND(A44="",I44=""),"Falta cómo se vende",IF(AND(K44&lt;&gt;"",N44="",M44=""),"(opcional) sin proveedor","OK"))))))</f>
        <v/>
      </c>
    </row>
    <row r="45">
      <c r="A45" s="11" t="n"/>
      <c r="B45" s="6" t="n"/>
      <c r="C45" s="6" t="n"/>
      <c r="D45" s="6" t="n"/>
      <c r="E45" s="6" t="n"/>
      <c r="F45" s="6" t="n"/>
      <c r="G45" s="6" t="n"/>
      <c r="H45" s="6" t="n"/>
      <c r="I45" s="6" t="n"/>
      <c r="J45" s="6" t="n"/>
      <c r="K45" s="7" t="n"/>
      <c r="L45" s="8" t="n"/>
      <c r="M45" s="6" t="n"/>
      <c r="N45" s="6" t="n"/>
      <c r="O45" s="9" t="n"/>
      <c r="P45" s="6" t="n"/>
      <c r="Q45" s="6" t="n"/>
      <c r="R45" s="6" t="n"/>
      <c r="S45" s="6" t="n"/>
      <c r="T45">
        <f>IF(C45="","",IF(AND(K45&lt;&gt;"",L45=""),"Falta el costo",IF(AND(LEFT(I45,6)="Por ov",K45&lt;&gt;"",G45=""),"Falta el peso del ovillo",IF(AND(A45="",B45=""),"Falta la categoría",IF(AND(A45="",I45=""),"Falta cómo se vende",IF(AND(K45&lt;&gt;"",N45="",M45=""),"(opcional) sin proveedor","OK"))))))</f>
        <v/>
      </c>
    </row>
    <row r="46">
      <c r="A46" s="11" t="n"/>
      <c r="B46" s="6" t="n"/>
      <c r="C46" s="6" t="n"/>
      <c r="D46" s="6" t="n"/>
      <c r="E46" s="6" t="n"/>
      <c r="F46" s="6" t="n"/>
      <c r="G46" s="6" t="n"/>
      <c r="H46" s="6" t="n"/>
      <c r="I46" s="6" t="n"/>
      <c r="J46" s="6" t="n"/>
      <c r="K46" s="7" t="n"/>
      <c r="L46" s="8" t="n"/>
      <c r="M46" s="6" t="n"/>
      <c r="N46" s="6" t="n"/>
      <c r="O46" s="9" t="n"/>
      <c r="P46" s="6" t="n"/>
      <c r="Q46" s="6" t="n"/>
      <c r="R46" s="6" t="n"/>
      <c r="S46" s="6" t="n"/>
      <c r="T46">
        <f>IF(C46="","",IF(AND(K46&lt;&gt;"",L46=""),"Falta el costo",IF(AND(LEFT(I46,6)="Por ov",K46&lt;&gt;"",G46=""),"Falta el peso del ovillo",IF(AND(A46="",B46=""),"Falta la categoría",IF(AND(A46="",I46=""),"Falta cómo se vende",IF(AND(K46&lt;&gt;"",N46="",M46=""),"(opcional) sin proveedor","OK"))))))</f>
        <v/>
      </c>
    </row>
    <row r="47">
      <c r="A47" s="11" t="n"/>
      <c r="B47" s="6" t="n"/>
      <c r="C47" s="6" t="n"/>
      <c r="D47" s="6" t="n"/>
      <c r="E47" s="6" t="n"/>
      <c r="F47" s="6" t="n"/>
      <c r="G47" s="6" t="n"/>
      <c r="H47" s="6" t="n"/>
      <c r="I47" s="6" t="n"/>
      <c r="J47" s="6" t="n"/>
      <c r="K47" s="7" t="n"/>
      <c r="L47" s="8" t="n"/>
      <c r="M47" s="6" t="n"/>
      <c r="N47" s="6" t="n"/>
      <c r="O47" s="9" t="n"/>
      <c r="P47" s="6" t="n"/>
      <c r="Q47" s="6" t="n"/>
      <c r="R47" s="6" t="n"/>
      <c r="S47" s="6" t="n"/>
      <c r="T47">
        <f>IF(C47="","",IF(AND(K47&lt;&gt;"",L47=""),"Falta el costo",IF(AND(LEFT(I47,6)="Por ov",K47&lt;&gt;"",G47=""),"Falta el peso del ovillo",IF(AND(A47="",B47=""),"Falta la categoría",IF(AND(A47="",I47=""),"Falta cómo se vende",IF(AND(K47&lt;&gt;"",N47="",M47=""),"(opcional) sin proveedor","OK"))))))</f>
        <v/>
      </c>
    </row>
    <row r="48">
      <c r="A48" s="11" t="n"/>
      <c r="B48" s="6" t="n"/>
      <c r="C48" s="6" t="n"/>
      <c r="D48" s="6" t="n"/>
      <c r="E48" s="6" t="n"/>
      <c r="F48" s="6" t="n"/>
      <c r="G48" s="6" t="n"/>
      <c r="H48" s="6" t="n"/>
      <c r="I48" s="6" t="n"/>
      <c r="J48" s="6" t="n"/>
      <c r="K48" s="7" t="n"/>
      <c r="L48" s="8" t="n"/>
      <c r="M48" s="6" t="n"/>
      <c r="N48" s="6" t="n"/>
      <c r="O48" s="9" t="n"/>
      <c r="P48" s="6" t="n"/>
      <c r="Q48" s="6" t="n"/>
      <c r="R48" s="6" t="n"/>
      <c r="S48" s="6" t="n"/>
      <c r="T48">
        <f>IF(C48="","",IF(AND(K48&lt;&gt;"",L48=""),"Falta el costo",IF(AND(LEFT(I48,6)="Por ov",K48&lt;&gt;"",G48=""),"Falta el peso del ovillo",IF(AND(A48="",B48=""),"Falta la categoría",IF(AND(A48="",I48=""),"Falta cómo se vende",IF(AND(K48&lt;&gt;"",N48="",M48=""),"(opcional) sin proveedor","OK"))))))</f>
        <v/>
      </c>
    </row>
    <row r="49">
      <c r="A49" s="11" t="n"/>
      <c r="B49" s="6" t="n"/>
      <c r="C49" s="6" t="n"/>
      <c r="D49" s="6" t="n"/>
      <c r="E49" s="6" t="n"/>
      <c r="F49" s="6" t="n"/>
      <c r="G49" s="6" t="n"/>
      <c r="H49" s="6" t="n"/>
      <c r="I49" s="6" t="n"/>
      <c r="J49" s="6" t="n"/>
      <c r="K49" s="7" t="n"/>
      <c r="L49" s="8" t="n"/>
      <c r="M49" s="6" t="n"/>
      <c r="N49" s="6" t="n"/>
      <c r="O49" s="9" t="n"/>
      <c r="P49" s="6" t="n"/>
      <c r="Q49" s="6" t="n"/>
      <c r="R49" s="6" t="n"/>
      <c r="S49" s="6" t="n"/>
      <c r="T49">
        <f>IF(C49="","",IF(AND(K49&lt;&gt;"",L49=""),"Falta el costo",IF(AND(LEFT(I49,6)="Por ov",K49&lt;&gt;"",G49=""),"Falta el peso del ovillo",IF(AND(A49="",B49=""),"Falta la categoría",IF(AND(A49="",I49=""),"Falta cómo se vende",IF(AND(K49&lt;&gt;"",N49="",M49=""),"(opcional) sin proveedor","OK"))))))</f>
        <v/>
      </c>
    </row>
    <row r="50">
      <c r="A50" s="11" t="n"/>
      <c r="B50" s="6" t="n"/>
      <c r="C50" s="6" t="n"/>
      <c r="D50" s="6" t="n"/>
      <c r="E50" s="6" t="n"/>
      <c r="F50" s="6" t="n"/>
      <c r="G50" s="6" t="n"/>
      <c r="H50" s="6" t="n"/>
      <c r="I50" s="6" t="n"/>
      <c r="J50" s="6" t="n"/>
      <c r="K50" s="7" t="n"/>
      <c r="L50" s="8" t="n"/>
      <c r="M50" s="6" t="n"/>
      <c r="N50" s="6" t="n"/>
      <c r="O50" s="9" t="n"/>
      <c r="P50" s="6" t="n"/>
      <c r="Q50" s="6" t="n"/>
      <c r="R50" s="6" t="n"/>
      <c r="S50" s="6" t="n"/>
      <c r="T50">
        <f>IF(C50="","",IF(AND(K50&lt;&gt;"",L50=""),"Falta el costo",IF(AND(LEFT(I50,6)="Por ov",K50&lt;&gt;"",G50=""),"Falta el peso del ovillo",IF(AND(A50="",B50=""),"Falta la categoría",IF(AND(A50="",I50=""),"Falta cómo se vende",IF(AND(K50&lt;&gt;"",N50="",M50=""),"(opcional) sin proveedor","OK"))))))</f>
        <v/>
      </c>
    </row>
    <row r="51">
      <c r="A51" s="11" t="n"/>
      <c r="B51" s="6" t="n"/>
      <c r="C51" s="6" t="n"/>
      <c r="D51" s="6" t="n"/>
      <c r="E51" s="6" t="n"/>
      <c r="F51" s="6" t="n"/>
      <c r="G51" s="6" t="n"/>
      <c r="H51" s="6" t="n"/>
      <c r="I51" s="6" t="n"/>
      <c r="J51" s="6" t="n"/>
      <c r="K51" s="7" t="n"/>
      <c r="L51" s="8" t="n"/>
      <c r="M51" s="6" t="n"/>
      <c r="N51" s="6" t="n"/>
      <c r="O51" s="9" t="n"/>
      <c r="P51" s="6" t="n"/>
      <c r="Q51" s="6" t="n"/>
      <c r="R51" s="6" t="n"/>
      <c r="S51" s="6" t="n"/>
      <c r="T51">
        <f>IF(C51="","",IF(AND(K51&lt;&gt;"",L51=""),"Falta el costo",IF(AND(LEFT(I51,6)="Por ov",K51&lt;&gt;"",G51=""),"Falta el peso del ovillo",IF(AND(A51="",B51=""),"Falta la categoría",IF(AND(A51="",I51=""),"Falta cómo se vende",IF(AND(K51&lt;&gt;"",N51="",M51=""),"(opcional) sin proveedor","OK"))))))</f>
        <v/>
      </c>
    </row>
    <row r="52">
      <c r="A52" s="11" t="n"/>
      <c r="B52" s="6" t="n"/>
      <c r="C52" s="6" t="n"/>
      <c r="D52" s="6" t="n"/>
      <c r="E52" s="6" t="n"/>
      <c r="F52" s="6" t="n"/>
      <c r="G52" s="6" t="n"/>
      <c r="H52" s="6" t="n"/>
      <c r="I52" s="6" t="n"/>
      <c r="J52" s="6" t="n"/>
      <c r="K52" s="7" t="n"/>
      <c r="L52" s="8" t="n"/>
      <c r="M52" s="6" t="n"/>
      <c r="N52" s="6" t="n"/>
      <c r="O52" s="9" t="n"/>
      <c r="P52" s="6" t="n"/>
      <c r="Q52" s="6" t="n"/>
      <c r="R52" s="6" t="n"/>
      <c r="S52" s="6" t="n"/>
      <c r="T52">
        <f>IF(C52="","",IF(AND(K52&lt;&gt;"",L52=""),"Falta el costo",IF(AND(LEFT(I52,6)="Por ov",K52&lt;&gt;"",G52=""),"Falta el peso del ovillo",IF(AND(A52="",B52=""),"Falta la categoría",IF(AND(A52="",I52=""),"Falta cómo se vende",IF(AND(K52&lt;&gt;"",N52="",M52=""),"(opcional) sin proveedor","OK"))))))</f>
        <v/>
      </c>
    </row>
    <row r="53">
      <c r="A53" s="11" t="n"/>
      <c r="B53" s="6" t="n"/>
      <c r="C53" s="6" t="n"/>
      <c r="D53" s="6" t="n"/>
      <c r="E53" s="6" t="n"/>
      <c r="F53" s="6" t="n"/>
      <c r="G53" s="6" t="n"/>
      <c r="H53" s="6" t="n"/>
      <c r="I53" s="6" t="n"/>
      <c r="J53" s="6" t="n"/>
      <c r="K53" s="7" t="n"/>
      <c r="L53" s="8" t="n"/>
      <c r="M53" s="6" t="n"/>
      <c r="N53" s="6" t="n"/>
      <c r="O53" s="9" t="n"/>
      <c r="P53" s="6" t="n"/>
      <c r="Q53" s="6" t="n"/>
      <c r="R53" s="6" t="n"/>
      <c r="S53" s="6" t="n"/>
      <c r="T53">
        <f>IF(C53="","",IF(AND(K53&lt;&gt;"",L53=""),"Falta el costo",IF(AND(LEFT(I53,6)="Por ov",K53&lt;&gt;"",G53=""),"Falta el peso del ovillo",IF(AND(A53="",B53=""),"Falta la categoría",IF(AND(A53="",I53=""),"Falta cómo se vende",IF(AND(K53&lt;&gt;"",N53="",M53=""),"(opcional) sin proveedor","OK"))))))</f>
        <v/>
      </c>
    </row>
    <row r="54">
      <c r="A54" s="11" t="n"/>
      <c r="B54" s="6" t="n"/>
      <c r="C54" s="6" t="n"/>
      <c r="D54" s="6" t="n"/>
      <c r="E54" s="6" t="n"/>
      <c r="F54" s="6" t="n"/>
      <c r="G54" s="6" t="n"/>
      <c r="H54" s="6" t="n"/>
      <c r="I54" s="6" t="n"/>
      <c r="J54" s="6" t="n"/>
      <c r="K54" s="7" t="n"/>
      <c r="L54" s="8" t="n"/>
      <c r="M54" s="6" t="n"/>
      <c r="N54" s="6" t="n"/>
      <c r="O54" s="9" t="n"/>
      <c r="P54" s="6" t="n"/>
      <c r="Q54" s="6" t="n"/>
      <c r="R54" s="6" t="n"/>
      <c r="S54" s="6" t="n"/>
      <c r="T54">
        <f>IF(C54="","",IF(AND(K54&lt;&gt;"",L54=""),"Falta el costo",IF(AND(LEFT(I54,6)="Por ov",K54&lt;&gt;"",G54=""),"Falta el peso del ovillo",IF(AND(A54="",B54=""),"Falta la categoría",IF(AND(A54="",I54=""),"Falta cómo se vende",IF(AND(K54&lt;&gt;"",N54="",M54=""),"(opcional) sin proveedor","OK"))))))</f>
        <v/>
      </c>
    </row>
    <row r="55">
      <c r="A55" s="11" t="n"/>
      <c r="B55" s="6" t="n"/>
      <c r="C55" s="6" t="n"/>
      <c r="D55" s="6" t="n"/>
      <c r="E55" s="6" t="n"/>
      <c r="F55" s="6" t="n"/>
      <c r="G55" s="6" t="n"/>
      <c r="H55" s="6" t="n"/>
      <c r="I55" s="6" t="n"/>
      <c r="J55" s="6" t="n"/>
      <c r="K55" s="7" t="n"/>
      <c r="L55" s="8" t="n"/>
      <c r="M55" s="6" t="n"/>
      <c r="N55" s="6" t="n"/>
      <c r="O55" s="9" t="n"/>
      <c r="P55" s="6" t="n"/>
      <c r="Q55" s="6" t="n"/>
      <c r="R55" s="6" t="n"/>
      <c r="S55" s="6" t="n"/>
      <c r="T55">
        <f>IF(C55="","",IF(AND(K55&lt;&gt;"",L55=""),"Falta el costo",IF(AND(LEFT(I55,6)="Por ov",K55&lt;&gt;"",G55=""),"Falta el peso del ovillo",IF(AND(A55="",B55=""),"Falta la categoría",IF(AND(A55="",I55=""),"Falta cómo se vende",IF(AND(K55&lt;&gt;"",N55="",M55=""),"(opcional) sin proveedor","OK"))))))</f>
        <v/>
      </c>
    </row>
    <row r="56">
      <c r="A56" s="11" t="n"/>
      <c r="B56" s="6" t="n"/>
      <c r="C56" s="6" t="n"/>
      <c r="D56" s="6" t="n"/>
      <c r="E56" s="6" t="n"/>
      <c r="F56" s="6" t="n"/>
      <c r="G56" s="6" t="n"/>
      <c r="H56" s="6" t="n"/>
      <c r="I56" s="6" t="n"/>
      <c r="J56" s="6" t="n"/>
      <c r="K56" s="7" t="n"/>
      <c r="L56" s="8" t="n"/>
      <c r="M56" s="6" t="n"/>
      <c r="N56" s="6" t="n"/>
      <c r="O56" s="9" t="n"/>
      <c r="P56" s="6" t="n"/>
      <c r="Q56" s="6" t="n"/>
      <c r="R56" s="6" t="n"/>
      <c r="S56" s="6" t="n"/>
      <c r="T56">
        <f>IF(C56="","",IF(AND(K56&lt;&gt;"",L56=""),"Falta el costo",IF(AND(LEFT(I56,6)="Por ov",K56&lt;&gt;"",G56=""),"Falta el peso del ovillo",IF(AND(A56="",B56=""),"Falta la categoría",IF(AND(A56="",I56=""),"Falta cómo se vende",IF(AND(K56&lt;&gt;"",N56="",M56=""),"(opcional) sin proveedor","OK"))))))</f>
        <v/>
      </c>
    </row>
    <row r="57">
      <c r="A57" s="11" t="n"/>
      <c r="B57" s="6" t="n"/>
      <c r="C57" s="6" t="n"/>
      <c r="D57" s="6" t="n"/>
      <c r="E57" s="6" t="n"/>
      <c r="F57" s="6" t="n"/>
      <c r="G57" s="6" t="n"/>
      <c r="H57" s="6" t="n"/>
      <c r="I57" s="6" t="n"/>
      <c r="J57" s="6" t="n"/>
      <c r="K57" s="7" t="n"/>
      <c r="L57" s="8" t="n"/>
      <c r="M57" s="6" t="n"/>
      <c r="N57" s="6" t="n"/>
      <c r="O57" s="9" t="n"/>
      <c r="P57" s="6" t="n"/>
      <c r="Q57" s="6" t="n"/>
      <c r="R57" s="6" t="n"/>
      <c r="S57" s="6" t="n"/>
      <c r="T57">
        <f>IF(C57="","",IF(AND(K57&lt;&gt;"",L57=""),"Falta el costo",IF(AND(LEFT(I57,6)="Por ov",K57&lt;&gt;"",G57=""),"Falta el peso del ovillo",IF(AND(A57="",B57=""),"Falta la categoría",IF(AND(A57="",I57=""),"Falta cómo se vende",IF(AND(K57&lt;&gt;"",N57="",M57=""),"(opcional) sin proveedor","OK"))))))</f>
        <v/>
      </c>
    </row>
    <row r="58">
      <c r="A58" s="11" t="n"/>
      <c r="B58" s="6" t="n"/>
      <c r="C58" s="6" t="n"/>
      <c r="D58" s="6" t="n"/>
      <c r="E58" s="6" t="n"/>
      <c r="F58" s="6" t="n"/>
      <c r="G58" s="6" t="n"/>
      <c r="H58" s="6" t="n"/>
      <c r="I58" s="6" t="n"/>
      <c r="J58" s="6" t="n"/>
      <c r="K58" s="7" t="n"/>
      <c r="L58" s="8" t="n"/>
      <c r="M58" s="6" t="n"/>
      <c r="N58" s="6" t="n"/>
      <c r="O58" s="9" t="n"/>
      <c r="P58" s="6" t="n"/>
      <c r="Q58" s="6" t="n"/>
      <c r="R58" s="6" t="n"/>
      <c r="S58" s="6" t="n"/>
      <c r="T58">
        <f>IF(C58="","",IF(AND(K58&lt;&gt;"",L58=""),"Falta el costo",IF(AND(LEFT(I58,6)="Por ov",K58&lt;&gt;"",G58=""),"Falta el peso del ovillo",IF(AND(A58="",B58=""),"Falta la categoría",IF(AND(A58="",I58=""),"Falta cómo se vende",IF(AND(K58&lt;&gt;"",N58="",M58=""),"(opcional) sin proveedor","OK"))))))</f>
        <v/>
      </c>
    </row>
    <row r="59">
      <c r="A59" s="11" t="n"/>
      <c r="B59" s="6" t="n"/>
      <c r="C59" s="6" t="n"/>
      <c r="D59" s="6" t="n"/>
      <c r="E59" s="6" t="n"/>
      <c r="F59" s="6" t="n"/>
      <c r="G59" s="6" t="n"/>
      <c r="H59" s="6" t="n"/>
      <c r="I59" s="6" t="n"/>
      <c r="J59" s="6" t="n"/>
      <c r="K59" s="7" t="n"/>
      <c r="L59" s="8" t="n"/>
      <c r="M59" s="6" t="n"/>
      <c r="N59" s="6" t="n"/>
      <c r="O59" s="9" t="n"/>
      <c r="P59" s="6" t="n"/>
      <c r="Q59" s="6" t="n"/>
      <c r="R59" s="6" t="n"/>
      <c r="S59" s="6" t="n"/>
      <c r="T59">
        <f>IF(C59="","",IF(AND(K59&lt;&gt;"",L59=""),"Falta el costo",IF(AND(LEFT(I59,6)="Por ov",K59&lt;&gt;"",G59=""),"Falta el peso del ovillo",IF(AND(A59="",B59=""),"Falta la categoría",IF(AND(A59="",I59=""),"Falta cómo se vende",IF(AND(K59&lt;&gt;"",N59="",M59=""),"(opcional) sin proveedor","OK"))))))</f>
        <v/>
      </c>
    </row>
    <row r="60">
      <c r="A60" s="11" t="n"/>
      <c r="B60" s="6" t="n"/>
      <c r="C60" s="6" t="n"/>
      <c r="D60" s="6" t="n"/>
      <c r="E60" s="6" t="n"/>
      <c r="F60" s="6" t="n"/>
      <c r="G60" s="6" t="n"/>
      <c r="H60" s="6" t="n"/>
      <c r="I60" s="6" t="n"/>
      <c r="J60" s="6" t="n"/>
      <c r="K60" s="7" t="n"/>
      <c r="L60" s="8" t="n"/>
      <c r="M60" s="6" t="n"/>
      <c r="N60" s="6" t="n"/>
      <c r="O60" s="9" t="n"/>
      <c r="P60" s="6" t="n"/>
      <c r="Q60" s="6" t="n"/>
      <c r="R60" s="6" t="n"/>
      <c r="S60" s="6" t="n"/>
      <c r="T60">
        <f>IF(C60="","",IF(AND(K60&lt;&gt;"",L60=""),"Falta el costo",IF(AND(LEFT(I60,6)="Por ov",K60&lt;&gt;"",G60=""),"Falta el peso del ovillo",IF(AND(A60="",B60=""),"Falta la categoría",IF(AND(A60="",I60=""),"Falta cómo se vende",IF(AND(K60&lt;&gt;"",N60="",M60=""),"(opcional) sin proveedor","OK"))))))</f>
        <v/>
      </c>
    </row>
    <row r="61">
      <c r="A61" s="11" t="n"/>
      <c r="B61" s="6" t="n"/>
      <c r="C61" s="6" t="n"/>
      <c r="D61" s="6" t="n"/>
      <c r="E61" s="6" t="n"/>
      <c r="F61" s="6" t="n"/>
      <c r="G61" s="6" t="n"/>
      <c r="H61" s="6" t="n"/>
      <c r="I61" s="6" t="n"/>
      <c r="J61" s="6" t="n"/>
      <c r="K61" s="7" t="n"/>
      <c r="L61" s="8" t="n"/>
      <c r="M61" s="6" t="n"/>
      <c r="N61" s="6" t="n"/>
      <c r="O61" s="9" t="n"/>
      <c r="P61" s="6" t="n"/>
      <c r="Q61" s="6" t="n"/>
      <c r="R61" s="6" t="n"/>
      <c r="S61" s="6" t="n"/>
      <c r="T61">
        <f>IF(C61="","",IF(AND(K61&lt;&gt;"",L61=""),"Falta el costo",IF(AND(LEFT(I61,6)="Por ov",K61&lt;&gt;"",G61=""),"Falta el peso del ovillo",IF(AND(A61="",B61=""),"Falta la categoría",IF(AND(A61="",I61=""),"Falta cómo se vende",IF(AND(K61&lt;&gt;"",N61="",M61=""),"(opcional) sin proveedor","OK"))))))</f>
        <v/>
      </c>
    </row>
    <row r="62">
      <c r="A62" s="11" t="n"/>
      <c r="B62" s="6" t="n"/>
      <c r="C62" s="6" t="n"/>
      <c r="D62" s="6" t="n"/>
      <c r="E62" s="6" t="n"/>
      <c r="F62" s="6" t="n"/>
      <c r="G62" s="6" t="n"/>
      <c r="H62" s="6" t="n"/>
      <c r="I62" s="6" t="n"/>
      <c r="J62" s="6" t="n"/>
      <c r="K62" s="7" t="n"/>
      <c r="L62" s="8" t="n"/>
      <c r="M62" s="6" t="n"/>
      <c r="N62" s="6" t="n"/>
      <c r="O62" s="9" t="n"/>
      <c r="P62" s="6" t="n"/>
      <c r="Q62" s="6" t="n"/>
      <c r="R62" s="6" t="n"/>
      <c r="S62" s="6" t="n"/>
      <c r="T62">
        <f>IF(C62="","",IF(AND(K62&lt;&gt;"",L62=""),"Falta el costo",IF(AND(LEFT(I62,6)="Por ov",K62&lt;&gt;"",G62=""),"Falta el peso del ovillo",IF(AND(A62="",B62=""),"Falta la categoría",IF(AND(A62="",I62=""),"Falta cómo se vende",IF(AND(K62&lt;&gt;"",N62="",M62=""),"(opcional) sin proveedor","OK"))))))</f>
        <v/>
      </c>
    </row>
    <row r="63">
      <c r="A63" s="11" t="n"/>
      <c r="B63" s="6" t="n"/>
      <c r="C63" s="6" t="n"/>
      <c r="D63" s="6" t="n"/>
      <c r="E63" s="6" t="n"/>
      <c r="F63" s="6" t="n"/>
      <c r="G63" s="6" t="n"/>
      <c r="H63" s="6" t="n"/>
      <c r="I63" s="6" t="n"/>
      <c r="J63" s="6" t="n"/>
      <c r="K63" s="7" t="n"/>
      <c r="L63" s="8" t="n"/>
      <c r="M63" s="6" t="n"/>
      <c r="N63" s="6" t="n"/>
      <c r="O63" s="9" t="n"/>
      <c r="P63" s="6" t="n"/>
      <c r="Q63" s="6" t="n"/>
      <c r="R63" s="6" t="n"/>
      <c r="S63" s="6" t="n"/>
      <c r="T63">
        <f>IF(C63="","",IF(AND(K63&lt;&gt;"",L63=""),"Falta el costo",IF(AND(LEFT(I63,6)="Por ov",K63&lt;&gt;"",G63=""),"Falta el peso del ovillo",IF(AND(A63="",B63=""),"Falta la categoría",IF(AND(A63="",I63=""),"Falta cómo se vende",IF(AND(K63&lt;&gt;"",N63="",M63=""),"(opcional) sin proveedor","OK"))))))</f>
        <v/>
      </c>
    </row>
    <row r="64">
      <c r="A64" s="11" t="n"/>
      <c r="B64" s="6" t="n"/>
      <c r="C64" s="6" t="n"/>
      <c r="D64" s="6" t="n"/>
      <c r="E64" s="6" t="n"/>
      <c r="F64" s="6" t="n"/>
      <c r="G64" s="6" t="n"/>
      <c r="H64" s="6" t="n"/>
      <c r="I64" s="6" t="n"/>
      <c r="J64" s="6" t="n"/>
      <c r="K64" s="7" t="n"/>
      <c r="L64" s="8" t="n"/>
      <c r="M64" s="6" t="n"/>
      <c r="N64" s="6" t="n"/>
      <c r="O64" s="9" t="n"/>
      <c r="P64" s="6" t="n"/>
      <c r="Q64" s="6" t="n"/>
      <c r="R64" s="6" t="n"/>
      <c r="S64" s="6" t="n"/>
      <c r="T64">
        <f>IF(C64="","",IF(AND(K64&lt;&gt;"",L64=""),"Falta el costo",IF(AND(LEFT(I64,6)="Por ov",K64&lt;&gt;"",G64=""),"Falta el peso del ovillo",IF(AND(A64="",B64=""),"Falta la categoría",IF(AND(A64="",I64=""),"Falta cómo se vende",IF(AND(K64&lt;&gt;"",N64="",M64=""),"(opcional) sin proveedor","OK"))))))</f>
        <v/>
      </c>
    </row>
    <row r="65">
      <c r="A65" s="11" t="n"/>
      <c r="B65" s="6" t="n"/>
      <c r="C65" s="6" t="n"/>
      <c r="D65" s="6" t="n"/>
      <c r="E65" s="6" t="n"/>
      <c r="F65" s="6" t="n"/>
      <c r="G65" s="6" t="n"/>
      <c r="H65" s="6" t="n"/>
      <c r="I65" s="6" t="n"/>
      <c r="J65" s="6" t="n"/>
      <c r="K65" s="7" t="n"/>
      <c r="L65" s="8" t="n"/>
      <c r="M65" s="6" t="n"/>
      <c r="N65" s="6" t="n"/>
      <c r="O65" s="9" t="n"/>
      <c r="P65" s="6" t="n"/>
      <c r="Q65" s="6" t="n"/>
      <c r="R65" s="6" t="n"/>
      <c r="S65" s="6" t="n"/>
      <c r="T65">
        <f>IF(C65="","",IF(AND(K65&lt;&gt;"",L65=""),"Falta el costo",IF(AND(LEFT(I65,6)="Por ov",K65&lt;&gt;"",G65=""),"Falta el peso del ovillo",IF(AND(A65="",B65=""),"Falta la categoría",IF(AND(A65="",I65=""),"Falta cómo se vende",IF(AND(K65&lt;&gt;"",N65="",M65=""),"(opcional) sin proveedor","OK"))))))</f>
        <v/>
      </c>
    </row>
    <row r="66">
      <c r="A66" s="11" t="n"/>
      <c r="B66" s="6" t="n"/>
      <c r="C66" s="6" t="n"/>
      <c r="D66" s="6" t="n"/>
      <c r="E66" s="6" t="n"/>
      <c r="F66" s="6" t="n"/>
      <c r="G66" s="6" t="n"/>
      <c r="H66" s="6" t="n"/>
      <c r="I66" s="6" t="n"/>
      <c r="J66" s="6" t="n"/>
      <c r="K66" s="7" t="n"/>
      <c r="L66" s="8" t="n"/>
      <c r="M66" s="6" t="n"/>
      <c r="N66" s="6" t="n"/>
      <c r="O66" s="9" t="n"/>
      <c r="P66" s="6" t="n"/>
      <c r="Q66" s="6" t="n"/>
      <c r="R66" s="6" t="n"/>
      <c r="S66" s="6" t="n"/>
      <c r="T66">
        <f>IF(C66="","",IF(AND(K66&lt;&gt;"",L66=""),"Falta el costo",IF(AND(LEFT(I66,6)="Por ov",K66&lt;&gt;"",G66=""),"Falta el peso del ovillo",IF(AND(A66="",B66=""),"Falta la categoría",IF(AND(A66="",I66=""),"Falta cómo se vende",IF(AND(K66&lt;&gt;"",N66="",M66=""),"(opcional) sin proveedor","OK"))))))</f>
        <v/>
      </c>
    </row>
    <row r="67">
      <c r="A67" s="11" t="n"/>
      <c r="B67" s="6" t="n"/>
      <c r="C67" s="6" t="n"/>
      <c r="D67" s="6" t="n"/>
      <c r="E67" s="6" t="n"/>
      <c r="F67" s="6" t="n"/>
      <c r="G67" s="6" t="n"/>
      <c r="H67" s="6" t="n"/>
      <c r="I67" s="6" t="n"/>
      <c r="J67" s="6" t="n"/>
      <c r="K67" s="7" t="n"/>
      <c r="L67" s="8" t="n"/>
      <c r="M67" s="6" t="n"/>
      <c r="N67" s="6" t="n"/>
      <c r="O67" s="9" t="n"/>
      <c r="P67" s="6" t="n"/>
      <c r="Q67" s="6" t="n"/>
      <c r="R67" s="6" t="n"/>
      <c r="S67" s="6" t="n"/>
      <c r="T67">
        <f>IF(C67="","",IF(AND(K67&lt;&gt;"",L67=""),"Falta el costo",IF(AND(LEFT(I67,6)="Por ov",K67&lt;&gt;"",G67=""),"Falta el peso del ovillo",IF(AND(A67="",B67=""),"Falta la categoría",IF(AND(A67="",I67=""),"Falta cómo se vende",IF(AND(K67&lt;&gt;"",N67="",M67=""),"(opcional) sin proveedor","OK"))))))</f>
        <v/>
      </c>
    </row>
    <row r="68">
      <c r="A68" s="11" t="n"/>
      <c r="B68" s="6" t="n"/>
      <c r="C68" s="6" t="n"/>
      <c r="D68" s="6" t="n"/>
      <c r="E68" s="6" t="n"/>
      <c r="F68" s="6" t="n"/>
      <c r="G68" s="6" t="n"/>
      <c r="H68" s="6" t="n"/>
      <c r="I68" s="6" t="n"/>
      <c r="J68" s="6" t="n"/>
      <c r="K68" s="7" t="n"/>
      <c r="L68" s="8" t="n"/>
      <c r="M68" s="6" t="n"/>
      <c r="N68" s="6" t="n"/>
      <c r="O68" s="9" t="n"/>
      <c r="P68" s="6" t="n"/>
      <c r="Q68" s="6" t="n"/>
      <c r="R68" s="6" t="n"/>
      <c r="S68" s="6" t="n"/>
      <c r="T68">
        <f>IF(C68="","",IF(AND(K68&lt;&gt;"",L68=""),"Falta el costo",IF(AND(LEFT(I68,6)="Por ov",K68&lt;&gt;"",G68=""),"Falta el peso del ovillo",IF(AND(A68="",B68=""),"Falta la categoría",IF(AND(A68="",I68=""),"Falta cómo se vende",IF(AND(K68&lt;&gt;"",N68="",M68=""),"(opcional) sin proveedor","OK"))))))</f>
        <v/>
      </c>
    </row>
    <row r="69">
      <c r="A69" s="11" t="n"/>
      <c r="B69" s="6" t="n"/>
      <c r="C69" s="6" t="n"/>
      <c r="D69" s="6" t="n"/>
      <c r="E69" s="6" t="n"/>
      <c r="F69" s="6" t="n"/>
      <c r="G69" s="6" t="n"/>
      <c r="H69" s="6" t="n"/>
      <c r="I69" s="6" t="n"/>
      <c r="J69" s="6" t="n"/>
      <c r="K69" s="7" t="n"/>
      <c r="L69" s="8" t="n"/>
      <c r="M69" s="6" t="n"/>
      <c r="N69" s="6" t="n"/>
      <c r="O69" s="9" t="n"/>
      <c r="P69" s="6" t="n"/>
      <c r="Q69" s="6" t="n"/>
      <c r="R69" s="6" t="n"/>
      <c r="S69" s="6" t="n"/>
      <c r="T69">
        <f>IF(C69="","",IF(AND(K69&lt;&gt;"",L69=""),"Falta el costo",IF(AND(LEFT(I69,6)="Por ov",K69&lt;&gt;"",G69=""),"Falta el peso del ovillo",IF(AND(A69="",B69=""),"Falta la categoría",IF(AND(A69="",I69=""),"Falta cómo se vende",IF(AND(K69&lt;&gt;"",N69="",M69=""),"(opcional) sin proveedor","OK"))))))</f>
        <v/>
      </c>
    </row>
    <row r="70">
      <c r="A70" s="11" t="n"/>
      <c r="B70" s="6" t="n"/>
      <c r="C70" s="6" t="n"/>
      <c r="D70" s="6" t="n"/>
      <c r="E70" s="6" t="n"/>
      <c r="F70" s="6" t="n"/>
      <c r="G70" s="6" t="n"/>
      <c r="H70" s="6" t="n"/>
      <c r="I70" s="6" t="n"/>
      <c r="J70" s="6" t="n"/>
      <c r="K70" s="7" t="n"/>
      <c r="L70" s="8" t="n"/>
      <c r="M70" s="6" t="n"/>
      <c r="N70" s="6" t="n"/>
      <c r="O70" s="9" t="n"/>
      <c r="P70" s="6" t="n"/>
      <c r="Q70" s="6" t="n"/>
      <c r="R70" s="6" t="n"/>
      <c r="S70" s="6" t="n"/>
      <c r="T70">
        <f>IF(C70="","",IF(AND(K70&lt;&gt;"",L70=""),"Falta el costo",IF(AND(LEFT(I70,6)="Por ov",K70&lt;&gt;"",G70=""),"Falta el peso del ovillo",IF(AND(A70="",B70=""),"Falta la categoría",IF(AND(A70="",I70=""),"Falta cómo se vende",IF(AND(K70&lt;&gt;"",N70="",M70=""),"(opcional) sin proveedor","OK"))))))</f>
        <v/>
      </c>
    </row>
    <row r="71">
      <c r="A71" s="11" t="n"/>
      <c r="B71" s="6" t="n"/>
      <c r="C71" s="6" t="n"/>
      <c r="D71" s="6" t="n"/>
      <c r="E71" s="6" t="n"/>
      <c r="F71" s="6" t="n"/>
      <c r="G71" s="6" t="n"/>
      <c r="H71" s="6" t="n"/>
      <c r="I71" s="6" t="n"/>
      <c r="J71" s="6" t="n"/>
      <c r="K71" s="7" t="n"/>
      <c r="L71" s="8" t="n"/>
      <c r="M71" s="6" t="n"/>
      <c r="N71" s="6" t="n"/>
      <c r="O71" s="9" t="n"/>
      <c r="P71" s="6" t="n"/>
      <c r="Q71" s="6" t="n"/>
      <c r="R71" s="6" t="n"/>
      <c r="S71" s="6" t="n"/>
      <c r="T71">
        <f>IF(C71="","",IF(AND(K71&lt;&gt;"",L71=""),"Falta el costo",IF(AND(LEFT(I71,6)="Por ov",K71&lt;&gt;"",G71=""),"Falta el peso del ovillo",IF(AND(A71="",B71=""),"Falta la categoría",IF(AND(A71="",I71=""),"Falta cómo se vende",IF(AND(K71&lt;&gt;"",N71="",M71=""),"(opcional) sin proveedor","OK"))))))</f>
        <v/>
      </c>
    </row>
    <row r="72">
      <c r="A72" s="11" t="n"/>
      <c r="B72" s="6" t="n"/>
      <c r="C72" s="6" t="n"/>
      <c r="D72" s="6" t="n"/>
      <c r="E72" s="6" t="n"/>
      <c r="F72" s="6" t="n"/>
      <c r="G72" s="6" t="n"/>
      <c r="H72" s="6" t="n"/>
      <c r="I72" s="6" t="n"/>
      <c r="J72" s="6" t="n"/>
      <c r="K72" s="7" t="n"/>
      <c r="L72" s="8" t="n"/>
      <c r="M72" s="6" t="n"/>
      <c r="N72" s="6" t="n"/>
      <c r="O72" s="9" t="n"/>
      <c r="P72" s="6" t="n"/>
      <c r="Q72" s="6" t="n"/>
      <c r="R72" s="6" t="n"/>
      <c r="S72" s="6" t="n"/>
      <c r="T72">
        <f>IF(C72="","",IF(AND(K72&lt;&gt;"",L72=""),"Falta el costo",IF(AND(LEFT(I72,6)="Por ov",K72&lt;&gt;"",G72=""),"Falta el peso del ovillo",IF(AND(A72="",B72=""),"Falta la categoría",IF(AND(A72="",I72=""),"Falta cómo se vende",IF(AND(K72&lt;&gt;"",N72="",M72=""),"(opcional) sin proveedor","OK"))))))</f>
        <v/>
      </c>
    </row>
    <row r="73">
      <c r="A73" s="11" t="n"/>
      <c r="B73" s="6" t="n"/>
      <c r="C73" s="6" t="n"/>
      <c r="D73" s="6" t="n"/>
      <c r="E73" s="6" t="n"/>
      <c r="F73" s="6" t="n"/>
      <c r="G73" s="6" t="n"/>
      <c r="H73" s="6" t="n"/>
      <c r="I73" s="6" t="n"/>
      <c r="J73" s="6" t="n"/>
      <c r="K73" s="7" t="n"/>
      <c r="L73" s="8" t="n"/>
      <c r="M73" s="6" t="n"/>
      <c r="N73" s="6" t="n"/>
      <c r="O73" s="9" t="n"/>
      <c r="P73" s="6" t="n"/>
      <c r="Q73" s="6" t="n"/>
      <c r="R73" s="6" t="n"/>
      <c r="S73" s="6" t="n"/>
      <c r="T73">
        <f>IF(C73="","",IF(AND(K73&lt;&gt;"",L73=""),"Falta el costo",IF(AND(LEFT(I73,6)="Por ov",K73&lt;&gt;"",G73=""),"Falta el peso del ovillo",IF(AND(A73="",B73=""),"Falta la categoría",IF(AND(A73="",I73=""),"Falta cómo se vende",IF(AND(K73&lt;&gt;"",N73="",M73=""),"(opcional) sin proveedor","OK"))))))</f>
        <v/>
      </c>
    </row>
    <row r="74">
      <c r="A74" s="11" t="n"/>
      <c r="B74" s="6" t="n"/>
      <c r="C74" s="6" t="n"/>
      <c r="D74" s="6" t="n"/>
      <c r="E74" s="6" t="n"/>
      <c r="F74" s="6" t="n"/>
      <c r="G74" s="6" t="n"/>
      <c r="H74" s="6" t="n"/>
      <c r="I74" s="6" t="n"/>
      <c r="J74" s="6" t="n"/>
      <c r="K74" s="7" t="n"/>
      <c r="L74" s="8" t="n"/>
      <c r="M74" s="6" t="n"/>
      <c r="N74" s="6" t="n"/>
      <c r="O74" s="9" t="n"/>
      <c r="P74" s="6" t="n"/>
      <c r="Q74" s="6" t="n"/>
      <c r="R74" s="6" t="n"/>
      <c r="S74" s="6" t="n"/>
      <c r="T74">
        <f>IF(C74="","",IF(AND(K74&lt;&gt;"",L74=""),"Falta el costo",IF(AND(LEFT(I74,6)="Por ov",K74&lt;&gt;"",G74=""),"Falta el peso del ovillo",IF(AND(A74="",B74=""),"Falta la categoría",IF(AND(A74="",I74=""),"Falta cómo se vende",IF(AND(K74&lt;&gt;"",N74="",M74=""),"(opcional) sin proveedor","OK"))))))</f>
        <v/>
      </c>
    </row>
    <row r="75">
      <c r="A75" s="11" t="n"/>
      <c r="B75" s="6" t="n"/>
      <c r="C75" s="6" t="n"/>
      <c r="D75" s="6" t="n"/>
      <c r="E75" s="6" t="n"/>
      <c r="F75" s="6" t="n"/>
      <c r="G75" s="6" t="n"/>
      <c r="H75" s="6" t="n"/>
      <c r="I75" s="6" t="n"/>
      <c r="J75" s="6" t="n"/>
      <c r="K75" s="7" t="n"/>
      <c r="L75" s="8" t="n"/>
      <c r="M75" s="6" t="n"/>
      <c r="N75" s="6" t="n"/>
      <c r="O75" s="9" t="n"/>
      <c r="P75" s="6" t="n"/>
      <c r="Q75" s="6" t="n"/>
      <c r="R75" s="6" t="n"/>
      <c r="S75" s="6" t="n"/>
      <c r="T75">
        <f>IF(C75="","",IF(AND(K75&lt;&gt;"",L75=""),"Falta el costo",IF(AND(LEFT(I75,6)="Por ov",K75&lt;&gt;"",G75=""),"Falta el peso del ovillo",IF(AND(A75="",B75=""),"Falta la categoría",IF(AND(A75="",I75=""),"Falta cómo se vende",IF(AND(K75&lt;&gt;"",N75="",M75=""),"(opcional) sin proveedor","OK"))))))</f>
        <v/>
      </c>
    </row>
    <row r="76">
      <c r="A76" s="11" t="n"/>
      <c r="B76" s="6" t="n"/>
      <c r="C76" s="6" t="n"/>
      <c r="D76" s="6" t="n"/>
      <c r="E76" s="6" t="n"/>
      <c r="F76" s="6" t="n"/>
      <c r="G76" s="6" t="n"/>
      <c r="H76" s="6" t="n"/>
      <c r="I76" s="6" t="n"/>
      <c r="J76" s="6" t="n"/>
      <c r="K76" s="7" t="n"/>
      <c r="L76" s="8" t="n"/>
      <c r="M76" s="6" t="n"/>
      <c r="N76" s="6" t="n"/>
      <c r="O76" s="9" t="n"/>
      <c r="P76" s="6" t="n"/>
      <c r="Q76" s="6" t="n"/>
      <c r="R76" s="6" t="n"/>
      <c r="S76" s="6" t="n"/>
      <c r="T76">
        <f>IF(C76="","",IF(AND(K76&lt;&gt;"",L76=""),"Falta el costo",IF(AND(LEFT(I76,6)="Por ov",K76&lt;&gt;"",G76=""),"Falta el peso del ovillo",IF(AND(A76="",B76=""),"Falta la categoría",IF(AND(A76="",I76=""),"Falta cómo se vende",IF(AND(K76&lt;&gt;"",N76="",M76=""),"(opcional) sin proveedor","OK"))))))</f>
        <v/>
      </c>
    </row>
    <row r="77">
      <c r="A77" s="11" t="n"/>
      <c r="B77" s="6" t="n"/>
      <c r="C77" s="6" t="n"/>
      <c r="D77" s="6" t="n"/>
      <c r="E77" s="6" t="n"/>
      <c r="F77" s="6" t="n"/>
      <c r="G77" s="6" t="n"/>
      <c r="H77" s="6" t="n"/>
      <c r="I77" s="6" t="n"/>
      <c r="J77" s="6" t="n"/>
      <c r="K77" s="7" t="n"/>
      <c r="L77" s="8" t="n"/>
      <c r="M77" s="6" t="n"/>
      <c r="N77" s="6" t="n"/>
      <c r="O77" s="9" t="n"/>
      <c r="P77" s="6" t="n"/>
      <c r="Q77" s="6" t="n"/>
      <c r="R77" s="6" t="n"/>
      <c r="S77" s="6" t="n"/>
      <c r="T77">
        <f>IF(C77="","",IF(AND(K77&lt;&gt;"",L77=""),"Falta el costo",IF(AND(LEFT(I77,6)="Por ov",K77&lt;&gt;"",G77=""),"Falta el peso del ovillo",IF(AND(A77="",B77=""),"Falta la categoría",IF(AND(A77="",I77=""),"Falta cómo se vende",IF(AND(K77&lt;&gt;"",N77="",M77=""),"(opcional) sin proveedor","OK"))))))</f>
        <v/>
      </c>
    </row>
    <row r="78">
      <c r="A78" s="11" t="n"/>
      <c r="B78" s="6" t="n"/>
      <c r="C78" s="6" t="n"/>
      <c r="D78" s="6" t="n"/>
      <c r="E78" s="6" t="n"/>
      <c r="F78" s="6" t="n"/>
      <c r="G78" s="6" t="n"/>
      <c r="H78" s="6" t="n"/>
      <c r="I78" s="6" t="n"/>
      <c r="J78" s="6" t="n"/>
      <c r="K78" s="7" t="n"/>
      <c r="L78" s="8" t="n"/>
      <c r="M78" s="6" t="n"/>
      <c r="N78" s="6" t="n"/>
      <c r="O78" s="9" t="n"/>
      <c r="P78" s="6" t="n"/>
      <c r="Q78" s="6" t="n"/>
      <c r="R78" s="6" t="n"/>
      <c r="S78" s="6" t="n"/>
      <c r="T78">
        <f>IF(C78="","",IF(AND(K78&lt;&gt;"",L78=""),"Falta el costo",IF(AND(LEFT(I78,6)="Por ov",K78&lt;&gt;"",G78=""),"Falta el peso del ovillo",IF(AND(A78="",B78=""),"Falta la categoría",IF(AND(A78="",I78=""),"Falta cómo se vende",IF(AND(K78&lt;&gt;"",N78="",M78=""),"(opcional) sin proveedor","OK"))))))</f>
        <v/>
      </c>
    </row>
    <row r="79">
      <c r="A79" s="11" t="n"/>
      <c r="B79" s="6" t="n"/>
      <c r="C79" s="6" t="n"/>
      <c r="D79" s="6" t="n"/>
      <c r="E79" s="6" t="n"/>
      <c r="F79" s="6" t="n"/>
      <c r="G79" s="6" t="n"/>
      <c r="H79" s="6" t="n"/>
      <c r="I79" s="6" t="n"/>
      <c r="J79" s="6" t="n"/>
      <c r="K79" s="7" t="n"/>
      <c r="L79" s="8" t="n"/>
      <c r="M79" s="6" t="n"/>
      <c r="N79" s="6" t="n"/>
      <c r="O79" s="9" t="n"/>
      <c r="P79" s="6" t="n"/>
      <c r="Q79" s="6" t="n"/>
      <c r="R79" s="6" t="n"/>
      <c r="S79" s="6" t="n"/>
      <c r="T79">
        <f>IF(C79="","",IF(AND(K79&lt;&gt;"",L79=""),"Falta el costo",IF(AND(LEFT(I79,6)="Por ov",K79&lt;&gt;"",G79=""),"Falta el peso del ovillo",IF(AND(A79="",B79=""),"Falta la categoría",IF(AND(A79="",I79=""),"Falta cómo se vende",IF(AND(K79&lt;&gt;"",N79="",M79=""),"(opcional) sin proveedor","OK"))))))</f>
        <v/>
      </c>
    </row>
    <row r="80">
      <c r="A80" s="11" t="n"/>
      <c r="B80" s="6" t="n"/>
      <c r="C80" s="6" t="n"/>
      <c r="D80" s="6" t="n"/>
      <c r="E80" s="6" t="n"/>
      <c r="F80" s="6" t="n"/>
      <c r="G80" s="6" t="n"/>
      <c r="H80" s="6" t="n"/>
      <c r="I80" s="6" t="n"/>
      <c r="J80" s="6" t="n"/>
      <c r="K80" s="7" t="n"/>
      <c r="L80" s="8" t="n"/>
      <c r="M80" s="6" t="n"/>
      <c r="N80" s="6" t="n"/>
      <c r="O80" s="9" t="n"/>
      <c r="P80" s="6" t="n"/>
      <c r="Q80" s="6" t="n"/>
      <c r="R80" s="6" t="n"/>
      <c r="S80" s="6" t="n"/>
      <c r="T80">
        <f>IF(C80="","",IF(AND(K80&lt;&gt;"",L80=""),"Falta el costo",IF(AND(LEFT(I80,6)="Por ov",K80&lt;&gt;"",G80=""),"Falta el peso del ovillo",IF(AND(A80="",B80=""),"Falta la categoría",IF(AND(A80="",I80=""),"Falta cómo se vende",IF(AND(K80&lt;&gt;"",N80="",M80=""),"(opcional) sin proveedor","OK"))))))</f>
        <v/>
      </c>
    </row>
    <row r="81">
      <c r="A81" s="11" t="n"/>
      <c r="B81" s="6" t="n"/>
      <c r="C81" s="6" t="n"/>
      <c r="D81" s="6" t="n"/>
      <c r="E81" s="6" t="n"/>
      <c r="F81" s="6" t="n"/>
      <c r="G81" s="6" t="n"/>
      <c r="H81" s="6" t="n"/>
      <c r="I81" s="6" t="n"/>
      <c r="J81" s="6" t="n"/>
      <c r="K81" s="7" t="n"/>
      <c r="L81" s="8" t="n"/>
      <c r="M81" s="6" t="n"/>
      <c r="N81" s="6" t="n"/>
      <c r="O81" s="9" t="n"/>
      <c r="P81" s="6" t="n"/>
      <c r="Q81" s="6" t="n"/>
      <c r="R81" s="6" t="n"/>
      <c r="S81" s="6" t="n"/>
      <c r="T81">
        <f>IF(C81="","",IF(AND(K81&lt;&gt;"",L81=""),"Falta el costo",IF(AND(LEFT(I81,6)="Por ov",K81&lt;&gt;"",G81=""),"Falta el peso del ovillo",IF(AND(A81="",B81=""),"Falta la categoría",IF(AND(A81="",I81=""),"Falta cómo se vende",IF(AND(K81&lt;&gt;"",N81="",M81=""),"(opcional) sin proveedor","OK"))))))</f>
        <v/>
      </c>
    </row>
    <row r="82">
      <c r="A82" s="11" t="n"/>
      <c r="B82" s="6" t="n"/>
      <c r="C82" s="6" t="n"/>
      <c r="D82" s="6" t="n"/>
      <c r="E82" s="6" t="n"/>
      <c r="F82" s="6" t="n"/>
      <c r="G82" s="6" t="n"/>
      <c r="H82" s="6" t="n"/>
      <c r="I82" s="6" t="n"/>
      <c r="J82" s="6" t="n"/>
      <c r="K82" s="7" t="n"/>
      <c r="L82" s="8" t="n"/>
      <c r="M82" s="6" t="n"/>
      <c r="N82" s="6" t="n"/>
      <c r="O82" s="9" t="n"/>
      <c r="P82" s="6" t="n"/>
      <c r="Q82" s="6" t="n"/>
      <c r="R82" s="6" t="n"/>
      <c r="S82" s="6" t="n"/>
      <c r="T82">
        <f>IF(C82="","",IF(AND(K82&lt;&gt;"",L82=""),"Falta el costo",IF(AND(LEFT(I82,6)="Por ov",K82&lt;&gt;"",G82=""),"Falta el peso del ovillo",IF(AND(A82="",B82=""),"Falta la categoría",IF(AND(A82="",I82=""),"Falta cómo se vende",IF(AND(K82&lt;&gt;"",N82="",M82=""),"(opcional) sin proveedor","OK"))))))</f>
        <v/>
      </c>
    </row>
    <row r="83">
      <c r="A83" s="11" t="n"/>
      <c r="B83" s="6" t="n"/>
      <c r="C83" s="6" t="n"/>
      <c r="D83" s="6" t="n"/>
      <c r="E83" s="6" t="n"/>
      <c r="F83" s="6" t="n"/>
      <c r="G83" s="6" t="n"/>
      <c r="H83" s="6" t="n"/>
      <c r="I83" s="6" t="n"/>
      <c r="J83" s="6" t="n"/>
      <c r="K83" s="7" t="n"/>
      <c r="L83" s="8" t="n"/>
      <c r="M83" s="6" t="n"/>
      <c r="N83" s="6" t="n"/>
      <c r="O83" s="9" t="n"/>
      <c r="P83" s="6" t="n"/>
      <c r="Q83" s="6" t="n"/>
      <c r="R83" s="6" t="n"/>
      <c r="S83" s="6" t="n"/>
      <c r="T83">
        <f>IF(C83="","",IF(AND(K83&lt;&gt;"",L83=""),"Falta el costo",IF(AND(LEFT(I83,6)="Por ov",K83&lt;&gt;"",G83=""),"Falta el peso del ovillo",IF(AND(A83="",B83=""),"Falta la categoría",IF(AND(A83="",I83=""),"Falta cómo se vende",IF(AND(K83&lt;&gt;"",N83="",M83=""),"(opcional) sin proveedor","OK"))))))</f>
        <v/>
      </c>
    </row>
    <row r="84">
      <c r="A84" s="11" t="n"/>
      <c r="B84" s="6" t="n"/>
      <c r="C84" s="6" t="n"/>
      <c r="D84" s="6" t="n"/>
      <c r="E84" s="6" t="n"/>
      <c r="F84" s="6" t="n"/>
      <c r="G84" s="6" t="n"/>
      <c r="H84" s="6" t="n"/>
      <c r="I84" s="6" t="n"/>
      <c r="J84" s="6" t="n"/>
      <c r="K84" s="7" t="n"/>
      <c r="L84" s="8" t="n"/>
      <c r="M84" s="6" t="n"/>
      <c r="N84" s="6" t="n"/>
      <c r="O84" s="9" t="n"/>
      <c r="P84" s="6" t="n"/>
      <c r="Q84" s="6" t="n"/>
      <c r="R84" s="6" t="n"/>
      <c r="S84" s="6" t="n"/>
      <c r="T84">
        <f>IF(C84="","",IF(AND(K84&lt;&gt;"",L84=""),"Falta el costo",IF(AND(LEFT(I84,6)="Por ov",K84&lt;&gt;"",G84=""),"Falta el peso del ovillo",IF(AND(A84="",B84=""),"Falta la categoría",IF(AND(A84="",I84=""),"Falta cómo se vende",IF(AND(K84&lt;&gt;"",N84="",M84=""),"(opcional) sin proveedor","OK"))))))</f>
        <v/>
      </c>
    </row>
    <row r="85">
      <c r="A85" s="11" t="n"/>
      <c r="B85" s="6" t="n"/>
      <c r="C85" s="6" t="n"/>
      <c r="D85" s="6" t="n"/>
      <c r="E85" s="6" t="n"/>
      <c r="F85" s="6" t="n"/>
      <c r="G85" s="6" t="n"/>
      <c r="H85" s="6" t="n"/>
      <c r="I85" s="6" t="n"/>
      <c r="J85" s="6" t="n"/>
      <c r="K85" s="7" t="n"/>
      <c r="L85" s="8" t="n"/>
      <c r="M85" s="6" t="n"/>
      <c r="N85" s="6" t="n"/>
      <c r="O85" s="9" t="n"/>
      <c r="P85" s="6" t="n"/>
      <c r="Q85" s="6" t="n"/>
      <c r="R85" s="6" t="n"/>
      <c r="S85" s="6" t="n"/>
      <c r="T85">
        <f>IF(C85="","",IF(AND(K85&lt;&gt;"",L85=""),"Falta el costo",IF(AND(LEFT(I85,6)="Por ov",K85&lt;&gt;"",G85=""),"Falta el peso del ovillo",IF(AND(A85="",B85=""),"Falta la categoría",IF(AND(A85="",I85=""),"Falta cómo se vende",IF(AND(K85&lt;&gt;"",N85="",M85=""),"(opcional) sin proveedor","OK"))))))</f>
        <v/>
      </c>
    </row>
    <row r="86">
      <c r="A86" s="11" t="n"/>
      <c r="B86" s="6" t="n"/>
      <c r="C86" s="6" t="n"/>
      <c r="D86" s="6" t="n"/>
      <c r="E86" s="6" t="n"/>
      <c r="F86" s="6" t="n"/>
      <c r="G86" s="6" t="n"/>
      <c r="H86" s="6" t="n"/>
      <c r="I86" s="6" t="n"/>
      <c r="J86" s="6" t="n"/>
      <c r="K86" s="7" t="n"/>
      <c r="L86" s="8" t="n"/>
      <c r="M86" s="6" t="n"/>
      <c r="N86" s="6" t="n"/>
      <c r="O86" s="9" t="n"/>
      <c r="P86" s="6" t="n"/>
      <c r="Q86" s="6" t="n"/>
      <c r="R86" s="6" t="n"/>
      <c r="S86" s="6" t="n"/>
      <c r="T86">
        <f>IF(C86="","",IF(AND(K86&lt;&gt;"",L86=""),"Falta el costo",IF(AND(LEFT(I86,6)="Por ov",K86&lt;&gt;"",G86=""),"Falta el peso del ovillo",IF(AND(A86="",B86=""),"Falta la categoría",IF(AND(A86="",I86=""),"Falta cómo se vende",IF(AND(K86&lt;&gt;"",N86="",M86=""),"(opcional) sin proveedor","OK"))))))</f>
        <v/>
      </c>
    </row>
    <row r="87">
      <c r="A87" s="11" t="n"/>
      <c r="B87" s="6" t="n"/>
      <c r="C87" s="6" t="n"/>
      <c r="D87" s="6" t="n"/>
      <c r="E87" s="6" t="n"/>
      <c r="F87" s="6" t="n"/>
      <c r="G87" s="6" t="n"/>
      <c r="H87" s="6" t="n"/>
      <c r="I87" s="6" t="n"/>
      <c r="J87" s="6" t="n"/>
      <c r="K87" s="7" t="n"/>
      <c r="L87" s="8" t="n"/>
      <c r="M87" s="6" t="n"/>
      <c r="N87" s="6" t="n"/>
      <c r="O87" s="9" t="n"/>
      <c r="P87" s="6" t="n"/>
      <c r="Q87" s="6" t="n"/>
      <c r="R87" s="6" t="n"/>
      <c r="S87" s="6" t="n"/>
      <c r="T87">
        <f>IF(C87="","",IF(AND(K87&lt;&gt;"",L87=""),"Falta el costo",IF(AND(LEFT(I87,6)="Por ov",K87&lt;&gt;"",G87=""),"Falta el peso del ovillo",IF(AND(A87="",B87=""),"Falta la categoría",IF(AND(A87="",I87=""),"Falta cómo se vende",IF(AND(K87&lt;&gt;"",N87="",M87=""),"(opcional) sin proveedor","OK"))))))</f>
        <v/>
      </c>
    </row>
    <row r="88">
      <c r="A88" s="11" t="n"/>
      <c r="B88" s="6" t="n"/>
      <c r="C88" s="6" t="n"/>
      <c r="D88" s="6" t="n"/>
      <c r="E88" s="6" t="n"/>
      <c r="F88" s="6" t="n"/>
      <c r="G88" s="6" t="n"/>
      <c r="H88" s="6" t="n"/>
      <c r="I88" s="6" t="n"/>
      <c r="J88" s="6" t="n"/>
      <c r="K88" s="7" t="n"/>
      <c r="L88" s="8" t="n"/>
      <c r="M88" s="6" t="n"/>
      <c r="N88" s="6" t="n"/>
      <c r="O88" s="9" t="n"/>
      <c r="P88" s="6" t="n"/>
      <c r="Q88" s="6" t="n"/>
      <c r="R88" s="6" t="n"/>
      <c r="S88" s="6" t="n"/>
      <c r="T88">
        <f>IF(C88="","",IF(AND(K88&lt;&gt;"",L88=""),"Falta el costo",IF(AND(LEFT(I88,6)="Por ov",K88&lt;&gt;"",G88=""),"Falta el peso del ovillo",IF(AND(A88="",B88=""),"Falta la categoría",IF(AND(A88="",I88=""),"Falta cómo se vende",IF(AND(K88&lt;&gt;"",N88="",M88=""),"(opcional) sin proveedor","OK"))))))</f>
        <v/>
      </c>
    </row>
    <row r="89">
      <c r="A89" s="11" t="n"/>
      <c r="B89" s="6" t="n"/>
      <c r="C89" s="6" t="n"/>
      <c r="D89" s="6" t="n"/>
      <c r="E89" s="6" t="n"/>
      <c r="F89" s="6" t="n"/>
      <c r="G89" s="6" t="n"/>
      <c r="H89" s="6" t="n"/>
      <c r="I89" s="6" t="n"/>
      <c r="J89" s="6" t="n"/>
      <c r="K89" s="7" t="n"/>
      <c r="L89" s="8" t="n"/>
      <c r="M89" s="6" t="n"/>
      <c r="N89" s="6" t="n"/>
      <c r="O89" s="9" t="n"/>
      <c r="P89" s="6" t="n"/>
      <c r="Q89" s="6" t="n"/>
      <c r="R89" s="6" t="n"/>
      <c r="S89" s="6" t="n"/>
      <c r="T89">
        <f>IF(C89="","",IF(AND(K89&lt;&gt;"",L89=""),"Falta el costo",IF(AND(LEFT(I89,6)="Por ov",K89&lt;&gt;"",G89=""),"Falta el peso del ovillo",IF(AND(A89="",B89=""),"Falta la categoría",IF(AND(A89="",I89=""),"Falta cómo se vende",IF(AND(K89&lt;&gt;"",N89="",M89=""),"(opcional) sin proveedor","OK"))))))</f>
        <v/>
      </c>
    </row>
    <row r="90">
      <c r="A90" s="11" t="n"/>
      <c r="B90" s="6" t="n"/>
      <c r="C90" s="6" t="n"/>
      <c r="D90" s="6" t="n"/>
      <c r="E90" s="6" t="n"/>
      <c r="F90" s="6" t="n"/>
      <c r="G90" s="6" t="n"/>
      <c r="H90" s="6" t="n"/>
      <c r="I90" s="6" t="n"/>
      <c r="J90" s="6" t="n"/>
      <c r="K90" s="7" t="n"/>
      <c r="L90" s="8" t="n"/>
      <c r="M90" s="6" t="n"/>
      <c r="N90" s="6" t="n"/>
      <c r="O90" s="9" t="n"/>
      <c r="P90" s="6" t="n"/>
      <c r="Q90" s="6" t="n"/>
      <c r="R90" s="6" t="n"/>
      <c r="S90" s="6" t="n"/>
      <c r="T90">
        <f>IF(C90="","",IF(AND(K90&lt;&gt;"",L90=""),"Falta el costo",IF(AND(LEFT(I90,6)="Por ov",K90&lt;&gt;"",G90=""),"Falta el peso del ovillo",IF(AND(A90="",B90=""),"Falta la categoría",IF(AND(A90="",I90=""),"Falta cómo se vende",IF(AND(K90&lt;&gt;"",N90="",M90=""),"(opcional) sin proveedor","OK"))))))</f>
        <v/>
      </c>
    </row>
    <row r="91">
      <c r="A91" s="11" t="n"/>
      <c r="B91" s="6" t="n"/>
      <c r="C91" s="6" t="n"/>
      <c r="D91" s="6" t="n"/>
      <c r="E91" s="6" t="n"/>
      <c r="F91" s="6" t="n"/>
      <c r="G91" s="6" t="n"/>
      <c r="H91" s="6" t="n"/>
      <c r="I91" s="6" t="n"/>
      <c r="J91" s="6" t="n"/>
      <c r="K91" s="7" t="n"/>
      <c r="L91" s="8" t="n"/>
      <c r="M91" s="6" t="n"/>
      <c r="N91" s="6" t="n"/>
      <c r="O91" s="9" t="n"/>
      <c r="P91" s="6" t="n"/>
      <c r="Q91" s="6" t="n"/>
      <c r="R91" s="6" t="n"/>
      <c r="S91" s="6" t="n"/>
      <c r="T91">
        <f>IF(C91="","",IF(AND(K91&lt;&gt;"",L91=""),"Falta el costo",IF(AND(LEFT(I91,6)="Por ov",K91&lt;&gt;"",G91=""),"Falta el peso del ovillo",IF(AND(A91="",B91=""),"Falta la categoría",IF(AND(A91="",I91=""),"Falta cómo se vende",IF(AND(K91&lt;&gt;"",N91="",M91=""),"(opcional) sin proveedor","OK"))))))</f>
        <v/>
      </c>
    </row>
    <row r="92">
      <c r="A92" s="11" t="n"/>
      <c r="B92" s="6" t="n"/>
      <c r="C92" s="6" t="n"/>
      <c r="D92" s="6" t="n"/>
      <c r="E92" s="6" t="n"/>
      <c r="F92" s="6" t="n"/>
      <c r="G92" s="6" t="n"/>
      <c r="H92" s="6" t="n"/>
      <c r="I92" s="6" t="n"/>
      <c r="J92" s="6" t="n"/>
      <c r="K92" s="7" t="n"/>
      <c r="L92" s="8" t="n"/>
      <c r="M92" s="6" t="n"/>
      <c r="N92" s="6" t="n"/>
      <c r="O92" s="9" t="n"/>
      <c r="P92" s="6" t="n"/>
      <c r="Q92" s="6" t="n"/>
      <c r="R92" s="6" t="n"/>
      <c r="S92" s="6" t="n"/>
      <c r="T92">
        <f>IF(C92="","",IF(AND(K92&lt;&gt;"",L92=""),"Falta el costo",IF(AND(LEFT(I92,6)="Por ov",K92&lt;&gt;"",G92=""),"Falta el peso del ovillo",IF(AND(A92="",B92=""),"Falta la categoría",IF(AND(A92="",I92=""),"Falta cómo se vende",IF(AND(K92&lt;&gt;"",N92="",M92=""),"(opcional) sin proveedor","OK"))))))</f>
        <v/>
      </c>
    </row>
    <row r="93">
      <c r="A93" s="11" t="n"/>
      <c r="B93" s="6" t="n"/>
      <c r="C93" s="6" t="n"/>
      <c r="D93" s="6" t="n"/>
      <c r="E93" s="6" t="n"/>
      <c r="F93" s="6" t="n"/>
      <c r="G93" s="6" t="n"/>
      <c r="H93" s="6" t="n"/>
      <c r="I93" s="6" t="n"/>
      <c r="J93" s="6" t="n"/>
      <c r="K93" s="7" t="n"/>
      <c r="L93" s="8" t="n"/>
      <c r="M93" s="6" t="n"/>
      <c r="N93" s="6" t="n"/>
      <c r="O93" s="9" t="n"/>
      <c r="P93" s="6" t="n"/>
      <c r="Q93" s="6" t="n"/>
      <c r="R93" s="6" t="n"/>
      <c r="S93" s="6" t="n"/>
      <c r="T93">
        <f>IF(C93="","",IF(AND(K93&lt;&gt;"",L93=""),"Falta el costo",IF(AND(LEFT(I93,6)="Por ov",K93&lt;&gt;"",G93=""),"Falta el peso del ovillo",IF(AND(A93="",B93=""),"Falta la categoría",IF(AND(A93="",I93=""),"Falta cómo se vende",IF(AND(K93&lt;&gt;"",N93="",M93=""),"(opcional) sin proveedor","OK"))))))</f>
        <v/>
      </c>
    </row>
    <row r="94">
      <c r="A94" s="11" t="n"/>
      <c r="B94" s="6" t="n"/>
      <c r="C94" s="6" t="n"/>
      <c r="D94" s="6" t="n"/>
      <c r="E94" s="6" t="n"/>
      <c r="F94" s="6" t="n"/>
      <c r="G94" s="6" t="n"/>
      <c r="H94" s="6" t="n"/>
      <c r="I94" s="6" t="n"/>
      <c r="J94" s="6" t="n"/>
      <c r="K94" s="7" t="n"/>
      <c r="L94" s="8" t="n"/>
      <c r="M94" s="6" t="n"/>
      <c r="N94" s="6" t="n"/>
      <c r="O94" s="9" t="n"/>
      <c r="P94" s="6" t="n"/>
      <c r="Q94" s="6" t="n"/>
      <c r="R94" s="6" t="n"/>
      <c r="S94" s="6" t="n"/>
      <c r="T94">
        <f>IF(C94="","",IF(AND(K94&lt;&gt;"",L94=""),"Falta el costo",IF(AND(LEFT(I94,6)="Por ov",K94&lt;&gt;"",G94=""),"Falta el peso del ovillo",IF(AND(A94="",B94=""),"Falta la categoría",IF(AND(A94="",I94=""),"Falta cómo se vende",IF(AND(K94&lt;&gt;"",N94="",M94=""),"(opcional) sin proveedor","OK"))))))</f>
        <v/>
      </c>
    </row>
    <row r="95">
      <c r="A95" s="11" t="n"/>
      <c r="B95" s="6" t="n"/>
      <c r="C95" s="6" t="n"/>
      <c r="D95" s="6" t="n"/>
      <c r="E95" s="6" t="n"/>
      <c r="F95" s="6" t="n"/>
      <c r="G95" s="6" t="n"/>
      <c r="H95" s="6" t="n"/>
      <c r="I95" s="6" t="n"/>
      <c r="J95" s="6" t="n"/>
      <c r="K95" s="7" t="n"/>
      <c r="L95" s="8" t="n"/>
      <c r="M95" s="6" t="n"/>
      <c r="N95" s="6" t="n"/>
      <c r="O95" s="9" t="n"/>
      <c r="P95" s="6" t="n"/>
      <c r="Q95" s="6" t="n"/>
      <c r="R95" s="6" t="n"/>
      <c r="S95" s="6" t="n"/>
      <c r="T95">
        <f>IF(C95="","",IF(AND(K95&lt;&gt;"",L95=""),"Falta el costo",IF(AND(LEFT(I95,6)="Por ov",K95&lt;&gt;"",G95=""),"Falta el peso del ovillo",IF(AND(A95="",B95=""),"Falta la categoría",IF(AND(A95="",I95=""),"Falta cómo se vende",IF(AND(K95&lt;&gt;"",N95="",M95=""),"(opcional) sin proveedor","OK"))))))</f>
        <v/>
      </c>
    </row>
    <row r="96">
      <c r="A96" s="11" t="n"/>
      <c r="B96" s="6" t="n"/>
      <c r="C96" s="6" t="n"/>
      <c r="D96" s="6" t="n"/>
      <c r="E96" s="6" t="n"/>
      <c r="F96" s="6" t="n"/>
      <c r="G96" s="6" t="n"/>
      <c r="H96" s="6" t="n"/>
      <c r="I96" s="6" t="n"/>
      <c r="J96" s="6" t="n"/>
      <c r="K96" s="7" t="n"/>
      <c r="L96" s="8" t="n"/>
      <c r="M96" s="6" t="n"/>
      <c r="N96" s="6" t="n"/>
      <c r="O96" s="9" t="n"/>
      <c r="P96" s="6" t="n"/>
      <c r="Q96" s="6" t="n"/>
      <c r="R96" s="6" t="n"/>
      <c r="S96" s="6" t="n"/>
      <c r="T96">
        <f>IF(C96="","",IF(AND(K96&lt;&gt;"",L96=""),"Falta el costo",IF(AND(LEFT(I96,6)="Por ov",K96&lt;&gt;"",G96=""),"Falta el peso del ovillo",IF(AND(A96="",B96=""),"Falta la categoría",IF(AND(A96="",I96=""),"Falta cómo se vende",IF(AND(K96&lt;&gt;"",N96="",M96=""),"(opcional) sin proveedor","OK"))))))</f>
        <v/>
      </c>
    </row>
    <row r="97">
      <c r="A97" s="11" t="n"/>
      <c r="B97" s="6" t="n"/>
      <c r="C97" s="6" t="n"/>
      <c r="D97" s="6" t="n"/>
      <c r="E97" s="6" t="n"/>
      <c r="F97" s="6" t="n"/>
      <c r="G97" s="6" t="n"/>
      <c r="H97" s="6" t="n"/>
      <c r="I97" s="6" t="n"/>
      <c r="J97" s="6" t="n"/>
      <c r="K97" s="7" t="n"/>
      <c r="L97" s="8" t="n"/>
      <c r="M97" s="6" t="n"/>
      <c r="N97" s="6" t="n"/>
      <c r="O97" s="9" t="n"/>
      <c r="P97" s="6" t="n"/>
      <c r="Q97" s="6" t="n"/>
      <c r="R97" s="6" t="n"/>
      <c r="S97" s="6" t="n"/>
      <c r="T97">
        <f>IF(C97="","",IF(AND(K97&lt;&gt;"",L97=""),"Falta el costo",IF(AND(LEFT(I97,6)="Por ov",K97&lt;&gt;"",G97=""),"Falta el peso del ovillo",IF(AND(A97="",B97=""),"Falta la categoría",IF(AND(A97="",I97=""),"Falta cómo se vende",IF(AND(K97&lt;&gt;"",N97="",M97=""),"(opcional) sin proveedor","OK"))))))</f>
        <v/>
      </c>
    </row>
    <row r="98">
      <c r="A98" s="11" t="n"/>
      <c r="B98" s="6" t="n"/>
      <c r="C98" s="6" t="n"/>
      <c r="D98" s="6" t="n"/>
      <c r="E98" s="6" t="n"/>
      <c r="F98" s="6" t="n"/>
      <c r="G98" s="6" t="n"/>
      <c r="H98" s="6" t="n"/>
      <c r="I98" s="6" t="n"/>
      <c r="J98" s="6" t="n"/>
      <c r="K98" s="7" t="n"/>
      <c r="L98" s="8" t="n"/>
      <c r="M98" s="6" t="n"/>
      <c r="N98" s="6" t="n"/>
      <c r="O98" s="9" t="n"/>
      <c r="P98" s="6" t="n"/>
      <c r="Q98" s="6" t="n"/>
      <c r="R98" s="6" t="n"/>
      <c r="S98" s="6" t="n"/>
      <c r="T98">
        <f>IF(C98="","",IF(AND(K98&lt;&gt;"",L98=""),"Falta el costo",IF(AND(LEFT(I98,6)="Por ov",K98&lt;&gt;"",G98=""),"Falta el peso del ovillo",IF(AND(A98="",B98=""),"Falta la categoría",IF(AND(A98="",I98=""),"Falta cómo se vende",IF(AND(K98&lt;&gt;"",N98="",M98=""),"(opcional) sin proveedor","OK"))))))</f>
        <v/>
      </c>
    </row>
    <row r="99">
      <c r="A99" s="11" t="n"/>
      <c r="B99" s="6" t="n"/>
      <c r="C99" s="6" t="n"/>
      <c r="D99" s="6" t="n"/>
      <c r="E99" s="6" t="n"/>
      <c r="F99" s="6" t="n"/>
      <c r="G99" s="6" t="n"/>
      <c r="H99" s="6" t="n"/>
      <c r="I99" s="6" t="n"/>
      <c r="J99" s="6" t="n"/>
      <c r="K99" s="7" t="n"/>
      <c r="L99" s="8" t="n"/>
      <c r="M99" s="6" t="n"/>
      <c r="N99" s="6" t="n"/>
      <c r="O99" s="9" t="n"/>
      <c r="P99" s="6" t="n"/>
      <c r="Q99" s="6" t="n"/>
      <c r="R99" s="6" t="n"/>
      <c r="S99" s="6" t="n"/>
      <c r="T99">
        <f>IF(C99="","",IF(AND(K99&lt;&gt;"",L99=""),"Falta el costo",IF(AND(LEFT(I99,6)="Por ov",K99&lt;&gt;"",G99=""),"Falta el peso del ovillo",IF(AND(A99="",B99=""),"Falta la categoría",IF(AND(A99="",I99=""),"Falta cómo se vende",IF(AND(K99&lt;&gt;"",N99="",M99=""),"(opcional) sin proveedor","OK"))))))</f>
        <v/>
      </c>
    </row>
    <row r="100">
      <c r="A100" s="11" t="n"/>
      <c r="B100" s="6" t="n"/>
      <c r="C100" s="6" t="n"/>
      <c r="D100" s="6" t="n"/>
      <c r="E100" s="6" t="n"/>
      <c r="F100" s="6" t="n"/>
      <c r="G100" s="6" t="n"/>
      <c r="H100" s="6" t="n"/>
      <c r="I100" s="6" t="n"/>
      <c r="J100" s="6" t="n"/>
      <c r="K100" s="7" t="n"/>
      <c r="L100" s="8" t="n"/>
      <c r="M100" s="6" t="n"/>
      <c r="N100" s="6" t="n"/>
      <c r="O100" s="9" t="n"/>
      <c r="P100" s="6" t="n"/>
      <c r="Q100" s="6" t="n"/>
      <c r="R100" s="6" t="n"/>
      <c r="S100" s="6" t="n"/>
      <c r="T100">
        <f>IF(C100="","",IF(AND(K100&lt;&gt;"",L100=""),"Falta el costo",IF(AND(LEFT(I100,6)="Por ov",K100&lt;&gt;"",G100=""),"Falta el peso del ovillo",IF(AND(A100="",B100=""),"Falta la categoría",IF(AND(A100="",I100=""),"Falta cómo se vende",IF(AND(K100&lt;&gt;"",N100="",M100=""),"(opcional) sin proveedor","OK"))))))</f>
        <v/>
      </c>
    </row>
    <row r="101">
      <c r="A101" s="11" t="n"/>
      <c r="B101" s="6" t="n"/>
      <c r="C101" s="6" t="n"/>
      <c r="D101" s="6" t="n"/>
      <c r="E101" s="6" t="n"/>
      <c r="F101" s="6" t="n"/>
      <c r="G101" s="6" t="n"/>
      <c r="H101" s="6" t="n"/>
      <c r="I101" s="6" t="n"/>
      <c r="J101" s="6" t="n"/>
      <c r="K101" s="7" t="n"/>
      <c r="L101" s="8" t="n"/>
      <c r="M101" s="6" t="n"/>
      <c r="N101" s="6" t="n"/>
      <c r="O101" s="9" t="n"/>
      <c r="P101" s="6" t="n"/>
      <c r="Q101" s="6" t="n"/>
      <c r="R101" s="6" t="n"/>
      <c r="S101" s="6" t="n"/>
      <c r="T101">
        <f>IF(C101="","",IF(AND(K101&lt;&gt;"",L101=""),"Falta el costo",IF(AND(LEFT(I101,6)="Por ov",K101&lt;&gt;"",G101=""),"Falta el peso del ovillo",IF(AND(A101="",B101=""),"Falta la categoría",IF(AND(A101="",I101=""),"Falta cómo se vende",IF(AND(K101&lt;&gt;"",N101="",M101=""),"(opcional) sin proveedor","OK"))))))</f>
        <v/>
      </c>
    </row>
    <row r="102">
      <c r="A102" s="11" t="n"/>
      <c r="B102" s="6" t="n"/>
      <c r="C102" s="6" t="n"/>
      <c r="D102" s="6" t="n"/>
      <c r="E102" s="6" t="n"/>
      <c r="F102" s="6" t="n"/>
      <c r="G102" s="6" t="n"/>
      <c r="H102" s="6" t="n"/>
      <c r="I102" s="6" t="n"/>
      <c r="J102" s="6" t="n"/>
      <c r="K102" s="7" t="n"/>
      <c r="L102" s="8" t="n"/>
      <c r="M102" s="6" t="n"/>
      <c r="N102" s="6" t="n"/>
      <c r="O102" s="9" t="n"/>
      <c r="P102" s="6" t="n"/>
      <c r="Q102" s="6" t="n"/>
      <c r="R102" s="6" t="n"/>
      <c r="S102" s="6" t="n"/>
      <c r="T102">
        <f>IF(C102="","",IF(AND(K102&lt;&gt;"",L102=""),"Falta el costo",IF(AND(LEFT(I102,6)="Por ov",K102&lt;&gt;"",G102=""),"Falta el peso del ovillo",IF(AND(A102="",B102=""),"Falta la categoría",IF(AND(A102="",I102=""),"Falta cómo se vende",IF(AND(K102&lt;&gt;"",N102="",M102=""),"(opcional) sin proveedor","OK"))))))</f>
        <v/>
      </c>
    </row>
    <row r="103">
      <c r="A103" s="11" t="n"/>
      <c r="B103" s="6" t="n"/>
      <c r="C103" s="6" t="n"/>
      <c r="D103" s="6" t="n"/>
      <c r="E103" s="6" t="n"/>
      <c r="F103" s="6" t="n"/>
      <c r="G103" s="6" t="n"/>
      <c r="H103" s="6" t="n"/>
      <c r="I103" s="6" t="n"/>
      <c r="J103" s="6" t="n"/>
      <c r="K103" s="7" t="n"/>
      <c r="L103" s="8" t="n"/>
      <c r="M103" s="6" t="n"/>
      <c r="N103" s="6" t="n"/>
      <c r="O103" s="9" t="n"/>
      <c r="P103" s="6" t="n"/>
      <c r="Q103" s="6" t="n"/>
      <c r="R103" s="6" t="n"/>
      <c r="S103" s="6" t="n"/>
      <c r="T103">
        <f>IF(C103="","",IF(AND(K103&lt;&gt;"",L103=""),"Falta el costo",IF(AND(LEFT(I103,6)="Por ov",K103&lt;&gt;"",G103=""),"Falta el peso del ovillo",IF(AND(A103="",B103=""),"Falta la categoría",IF(AND(A103="",I103=""),"Falta cómo se vende",IF(AND(K103&lt;&gt;"",N103="",M103=""),"(opcional) sin proveedor","OK"))))))</f>
        <v/>
      </c>
    </row>
    <row r="104">
      <c r="A104" s="11" t="n"/>
      <c r="B104" s="6" t="n"/>
      <c r="C104" s="6" t="n"/>
      <c r="D104" s="6" t="n"/>
      <c r="E104" s="6" t="n"/>
      <c r="F104" s="6" t="n"/>
      <c r="G104" s="6" t="n"/>
      <c r="H104" s="6" t="n"/>
      <c r="I104" s="6" t="n"/>
      <c r="J104" s="6" t="n"/>
      <c r="K104" s="7" t="n"/>
      <c r="L104" s="8" t="n"/>
      <c r="M104" s="6" t="n"/>
      <c r="N104" s="6" t="n"/>
      <c r="O104" s="9" t="n"/>
      <c r="P104" s="6" t="n"/>
      <c r="Q104" s="6" t="n"/>
      <c r="R104" s="6" t="n"/>
      <c r="S104" s="6" t="n"/>
      <c r="T104">
        <f>IF(C104="","",IF(AND(K104&lt;&gt;"",L104=""),"Falta el costo",IF(AND(LEFT(I104,6)="Por ov",K104&lt;&gt;"",G104=""),"Falta el peso del ovillo",IF(AND(A104="",B104=""),"Falta la categoría",IF(AND(A104="",I104=""),"Falta cómo se vende",IF(AND(K104&lt;&gt;"",N104="",M104=""),"(opcional) sin proveedor","OK"))))))</f>
        <v/>
      </c>
    </row>
    <row r="105">
      <c r="A105" s="11" t="n"/>
      <c r="B105" s="6" t="n"/>
      <c r="C105" s="6" t="n"/>
      <c r="D105" s="6" t="n"/>
      <c r="E105" s="6" t="n"/>
      <c r="F105" s="6" t="n"/>
      <c r="G105" s="6" t="n"/>
      <c r="H105" s="6" t="n"/>
      <c r="I105" s="6" t="n"/>
      <c r="J105" s="6" t="n"/>
      <c r="K105" s="7" t="n"/>
      <c r="L105" s="8" t="n"/>
      <c r="M105" s="6" t="n"/>
      <c r="N105" s="6" t="n"/>
      <c r="O105" s="9" t="n"/>
      <c r="P105" s="6" t="n"/>
      <c r="Q105" s="6" t="n"/>
      <c r="R105" s="6" t="n"/>
      <c r="S105" s="6" t="n"/>
      <c r="T105">
        <f>IF(C105="","",IF(AND(K105&lt;&gt;"",L105=""),"Falta el costo",IF(AND(LEFT(I105,6)="Por ov",K105&lt;&gt;"",G105=""),"Falta el peso del ovillo",IF(AND(A105="",B105=""),"Falta la categoría",IF(AND(A105="",I105=""),"Falta cómo se vende",IF(AND(K105&lt;&gt;"",N105="",M105=""),"(opcional) sin proveedor","OK"))))))</f>
        <v/>
      </c>
    </row>
    <row r="106">
      <c r="A106" s="11" t="n"/>
      <c r="B106" s="6" t="n"/>
      <c r="C106" s="6" t="n"/>
      <c r="D106" s="6" t="n"/>
      <c r="E106" s="6" t="n"/>
      <c r="F106" s="6" t="n"/>
      <c r="G106" s="6" t="n"/>
      <c r="H106" s="6" t="n"/>
      <c r="I106" s="6" t="n"/>
      <c r="J106" s="6" t="n"/>
      <c r="K106" s="7" t="n"/>
      <c r="L106" s="8" t="n"/>
      <c r="M106" s="6" t="n"/>
      <c r="N106" s="6" t="n"/>
      <c r="O106" s="9" t="n"/>
      <c r="P106" s="6" t="n"/>
      <c r="Q106" s="6" t="n"/>
      <c r="R106" s="6" t="n"/>
      <c r="S106" s="6" t="n"/>
      <c r="T106">
        <f>IF(C106="","",IF(AND(K106&lt;&gt;"",L106=""),"Falta el costo",IF(AND(LEFT(I106,6)="Por ov",K106&lt;&gt;"",G106=""),"Falta el peso del ovillo",IF(AND(A106="",B106=""),"Falta la categoría",IF(AND(A106="",I106=""),"Falta cómo se vende",IF(AND(K106&lt;&gt;"",N106="",M106=""),"(opcional) sin proveedor","OK"))))))</f>
        <v/>
      </c>
    </row>
    <row r="107">
      <c r="A107" s="11" t="n"/>
      <c r="B107" s="6" t="n"/>
      <c r="C107" s="6" t="n"/>
      <c r="D107" s="6" t="n"/>
      <c r="E107" s="6" t="n"/>
      <c r="F107" s="6" t="n"/>
      <c r="G107" s="6" t="n"/>
      <c r="H107" s="6" t="n"/>
      <c r="I107" s="6" t="n"/>
      <c r="J107" s="6" t="n"/>
      <c r="K107" s="7" t="n"/>
      <c r="L107" s="8" t="n"/>
      <c r="M107" s="6" t="n"/>
      <c r="N107" s="6" t="n"/>
      <c r="O107" s="9" t="n"/>
      <c r="P107" s="6" t="n"/>
      <c r="Q107" s="6" t="n"/>
      <c r="R107" s="6" t="n"/>
      <c r="S107" s="6" t="n"/>
      <c r="T107">
        <f>IF(C107="","",IF(AND(K107&lt;&gt;"",L107=""),"Falta el costo",IF(AND(LEFT(I107,6)="Por ov",K107&lt;&gt;"",G107=""),"Falta el peso del ovillo",IF(AND(A107="",B107=""),"Falta la categoría",IF(AND(A107="",I107=""),"Falta cómo se vende",IF(AND(K107&lt;&gt;"",N107="",M107=""),"(opcional) sin proveedor","OK"))))))</f>
        <v/>
      </c>
    </row>
    <row r="108">
      <c r="A108" s="11" t="n"/>
      <c r="B108" s="6" t="n"/>
      <c r="C108" s="6" t="n"/>
      <c r="D108" s="6" t="n"/>
      <c r="E108" s="6" t="n"/>
      <c r="F108" s="6" t="n"/>
      <c r="G108" s="6" t="n"/>
      <c r="H108" s="6" t="n"/>
      <c r="I108" s="6" t="n"/>
      <c r="J108" s="6" t="n"/>
      <c r="K108" s="7" t="n"/>
      <c r="L108" s="8" t="n"/>
      <c r="M108" s="6" t="n"/>
      <c r="N108" s="6" t="n"/>
      <c r="O108" s="9" t="n"/>
      <c r="P108" s="6" t="n"/>
      <c r="Q108" s="6" t="n"/>
      <c r="R108" s="6" t="n"/>
      <c r="S108" s="6" t="n"/>
      <c r="T108">
        <f>IF(C108="","",IF(AND(K108&lt;&gt;"",L108=""),"Falta el costo",IF(AND(LEFT(I108,6)="Por ov",K108&lt;&gt;"",G108=""),"Falta el peso del ovillo",IF(AND(A108="",B108=""),"Falta la categoría",IF(AND(A108="",I108=""),"Falta cómo se vende",IF(AND(K108&lt;&gt;"",N108="",M108=""),"(opcional) sin proveedor","OK"))))))</f>
        <v/>
      </c>
    </row>
    <row r="109">
      <c r="A109" s="11" t="n"/>
      <c r="B109" s="6" t="n"/>
      <c r="C109" s="6" t="n"/>
      <c r="D109" s="6" t="n"/>
      <c r="E109" s="6" t="n"/>
      <c r="F109" s="6" t="n"/>
      <c r="G109" s="6" t="n"/>
      <c r="H109" s="6" t="n"/>
      <c r="I109" s="6" t="n"/>
      <c r="J109" s="6" t="n"/>
      <c r="K109" s="7" t="n"/>
      <c r="L109" s="8" t="n"/>
      <c r="M109" s="6" t="n"/>
      <c r="N109" s="6" t="n"/>
      <c r="O109" s="9" t="n"/>
      <c r="P109" s="6" t="n"/>
      <c r="Q109" s="6" t="n"/>
      <c r="R109" s="6" t="n"/>
      <c r="S109" s="6" t="n"/>
      <c r="T109">
        <f>IF(C109="","",IF(AND(K109&lt;&gt;"",L109=""),"Falta el costo",IF(AND(LEFT(I109,6)="Por ov",K109&lt;&gt;"",G109=""),"Falta el peso del ovillo",IF(AND(A109="",B109=""),"Falta la categoría",IF(AND(A109="",I109=""),"Falta cómo se vende",IF(AND(K109&lt;&gt;"",N109="",M109=""),"(opcional) sin proveedor","OK"))))))</f>
        <v/>
      </c>
    </row>
    <row r="110">
      <c r="A110" s="11" t="n"/>
      <c r="B110" s="6" t="n"/>
      <c r="C110" s="6" t="n"/>
      <c r="D110" s="6" t="n"/>
      <c r="E110" s="6" t="n"/>
      <c r="F110" s="6" t="n"/>
      <c r="G110" s="6" t="n"/>
      <c r="H110" s="6" t="n"/>
      <c r="I110" s="6" t="n"/>
      <c r="J110" s="6" t="n"/>
      <c r="K110" s="7" t="n"/>
      <c r="L110" s="8" t="n"/>
      <c r="M110" s="6" t="n"/>
      <c r="N110" s="6" t="n"/>
      <c r="O110" s="9" t="n"/>
      <c r="P110" s="6" t="n"/>
      <c r="Q110" s="6" t="n"/>
      <c r="R110" s="6" t="n"/>
      <c r="S110" s="6" t="n"/>
      <c r="T110">
        <f>IF(C110="","",IF(AND(K110&lt;&gt;"",L110=""),"Falta el costo",IF(AND(LEFT(I110,6)="Por ov",K110&lt;&gt;"",G110=""),"Falta el peso del ovillo",IF(AND(A110="",B110=""),"Falta la categoría",IF(AND(A110="",I110=""),"Falta cómo se vende",IF(AND(K110&lt;&gt;"",N110="",M110=""),"(opcional) sin proveedor","OK"))))))</f>
        <v/>
      </c>
    </row>
    <row r="111">
      <c r="A111" s="11" t="n"/>
      <c r="B111" s="6" t="n"/>
      <c r="C111" s="6" t="n"/>
      <c r="D111" s="6" t="n"/>
      <c r="E111" s="6" t="n"/>
      <c r="F111" s="6" t="n"/>
      <c r="G111" s="6" t="n"/>
      <c r="H111" s="6" t="n"/>
      <c r="I111" s="6" t="n"/>
      <c r="J111" s="6" t="n"/>
      <c r="K111" s="7" t="n"/>
      <c r="L111" s="8" t="n"/>
      <c r="M111" s="6" t="n"/>
      <c r="N111" s="6" t="n"/>
      <c r="O111" s="9" t="n"/>
      <c r="P111" s="6" t="n"/>
      <c r="Q111" s="6" t="n"/>
      <c r="R111" s="6" t="n"/>
      <c r="S111" s="6" t="n"/>
      <c r="T111">
        <f>IF(C111="","",IF(AND(K111&lt;&gt;"",L111=""),"Falta el costo",IF(AND(LEFT(I111,6)="Por ov",K111&lt;&gt;"",G111=""),"Falta el peso del ovillo",IF(AND(A111="",B111=""),"Falta la categoría",IF(AND(A111="",I111=""),"Falta cómo se vende",IF(AND(K111&lt;&gt;"",N111="",M111=""),"(opcional) sin proveedor","OK"))))))</f>
        <v/>
      </c>
    </row>
    <row r="112">
      <c r="A112" s="11" t="n"/>
      <c r="B112" s="6" t="n"/>
      <c r="C112" s="6" t="n"/>
      <c r="D112" s="6" t="n"/>
      <c r="E112" s="6" t="n"/>
      <c r="F112" s="6" t="n"/>
      <c r="G112" s="6" t="n"/>
      <c r="H112" s="6" t="n"/>
      <c r="I112" s="6" t="n"/>
      <c r="J112" s="6" t="n"/>
      <c r="K112" s="7" t="n"/>
      <c r="L112" s="8" t="n"/>
      <c r="M112" s="6" t="n"/>
      <c r="N112" s="6" t="n"/>
      <c r="O112" s="9" t="n"/>
      <c r="P112" s="6" t="n"/>
      <c r="Q112" s="6" t="n"/>
      <c r="R112" s="6" t="n"/>
      <c r="S112" s="6" t="n"/>
      <c r="T112">
        <f>IF(C112="","",IF(AND(K112&lt;&gt;"",L112=""),"Falta el costo",IF(AND(LEFT(I112,6)="Por ov",K112&lt;&gt;"",G112=""),"Falta el peso del ovillo",IF(AND(A112="",B112=""),"Falta la categoría",IF(AND(A112="",I112=""),"Falta cómo se vende",IF(AND(K112&lt;&gt;"",N112="",M112=""),"(opcional) sin proveedor","OK"))))))</f>
        <v/>
      </c>
    </row>
    <row r="113">
      <c r="A113" s="11" t="n"/>
      <c r="B113" s="6" t="n"/>
      <c r="C113" s="6" t="n"/>
      <c r="D113" s="6" t="n"/>
      <c r="E113" s="6" t="n"/>
      <c r="F113" s="6" t="n"/>
      <c r="G113" s="6" t="n"/>
      <c r="H113" s="6" t="n"/>
      <c r="I113" s="6" t="n"/>
      <c r="J113" s="6" t="n"/>
      <c r="K113" s="7" t="n"/>
      <c r="L113" s="8" t="n"/>
      <c r="M113" s="6" t="n"/>
      <c r="N113" s="6" t="n"/>
      <c r="O113" s="9" t="n"/>
      <c r="P113" s="6" t="n"/>
      <c r="Q113" s="6" t="n"/>
      <c r="R113" s="6" t="n"/>
      <c r="S113" s="6" t="n"/>
      <c r="T113">
        <f>IF(C113="","",IF(AND(K113&lt;&gt;"",L113=""),"Falta el costo",IF(AND(LEFT(I113,6)="Por ov",K113&lt;&gt;"",G113=""),"Falta el peso del ovillo",IF(AND(A113="",B113=""),"Falta la categoría",IF(AND(A113="",I113=""),"Falta cómo se vende",IF(AND(K113&lt;&gt;"",N113="",M113=""),"(opcional) sin proveedor","OK"))))))</f>
        <v/>
      </c>
    </row>
    <row r="114">
      <c r="A114" s="11" t="n"/>
      <c r="B114" s="6" t="n"/>
      <c r="C114" s="6" t="n"/>
      <c r="D114" s="6" t="n"/>
      <c r="E114" s="6" t="n"/>
      <c r="F114" s="6" t="n"/>
      <c r="G114" s="6" t="n"/>
      <c r="H114" s="6" t="n"/>
      <c r="I114" s="6" t="n"/>
      <c r="J114" s="6" t="n"/>
      <c r="K114" s="7" t="n"/>
      <c r="L114" s="8" t="n"/>
      <c r="M114" s="6" t="n"/>
      <c r="N114" s="6" t="n"/>
      <c r="O114" s="9" t="n"/>
      <c r="P114" s="6" t="n"/>
      <c r="Q114" s="6" t="n"/>
      <c r="R114" s="6" t="n"/>
      <c r="S114" s="6" t="n"/>
      <c r="T114">
        <f>IF(C114="","",IF(AND(K114&lt;&gt;"",L114=""),"Falta el costo",IF(AND(LEFT(I114,6)="Por ov",K114&lt;&gt;"",G114=""),"Falta el peso del ovillo",IF(AND(A114="",B114=""),"Falta la categoría",IF(AND(A114="",I114=""),"Falta cómo se vende",IF(AND(K114&lt;&gt;"",N114="",M114=""),"(opcional) sin proveedor","OK"))))))</f>
        <v/>
      </c>
    </row>
    <row r="115">
      <c r="A115" s="11" t="n"/>
      <c r="B115" s="6" t="n"/>
      <c r="C115" s="6" t="n"/>
      <c r="D115" s="6" t="n"/>
      <c r="E115" s="6" t="n"/>
      <c r="F115" s="6" t="n"/>
      <c r="G115" s="6" t="n"/>
      <c r="H115" s="6" t="n"/>
      <c r="I115" s="6" t="n"/>
      <c r="J115" s="6" t="n"/>
      <c r="K115" s="7" t="n"/>
      <c r="L115" s="8" t="n"/>
      <c r="M115" s="6" t="n"/>
      <c r="N115" s="6" t="n"/>
      <c r="O115" s="9" t="n"/>
      <c r="P115" s="6" t="n"/>
      <c r="Q115" s="6" t="n"/>
      <c r="R115" s="6" t="n"/>
      <c r="S115" s="6" t="n"/>
      <c r="T115">
        <f>IF(C115="","",IF(AND(K115&lt;&gt;"",L115=""),"Falta el costo",IF(AND(LEFT(I115,6)="Por ov",K115&lt;&gt;"",G115=""),"Falta el peso del ovillo",IF(AND(A115="",B115=""),"Falta la categoría",IF(AND(A115="",I115=""),"Falta cómo se vende",IF(AND(K115&lt;&gt;"",N115="",M115=""),"(opcional) sin proveedor","OK"))))))</f>
        <v/>
      </c>
    </row>
    <row r="116">
      <c r="A116" s="11" t="n"/>
      <c r="B116" s="6" t="n"/>
      <c r="C116" s="6" t="n"/>
      <c r="D116" s="6" t="n"/>
      <c r="E116" s="6" t="n"/>
      <c r="F116" s="6" t="n"/>
      <c r="G116" s="6" t="n"/>
      <c r="H116" s="6" t="n"/>
      <c r="I116" s="6" t="n"/>
      <c r="J116" s="6" t="n"/>
      <c r="K116" s="7" t="n"/>
      <c r="L116" s="8" t="n"/>
      <c r="M116" s="6" t="n"/>
      <c r="N116" s="6" t="n"/>
      <c r="O116" s="9" t="n"/>
      <c r="P116" s="6" t="n"/>
      <c r="Q116" s="6" t="n"/>
      <c r="R116" s="6" t="n"/>
      <c r="S116" s="6" t="n"/>
      <c r="T116">
        <f>IF(C116="","",IF(AND(K116&lt;&gt;"",L116=""),"Falta el costo",IF(AND(LEFT(I116,6)="Por ov",K116&lt;&gt;"",G116=""),"Falta el peso del ovillo",IF(AND(A116="",B116=""),"Falta la categoría",IF(AND(A116="",I116=""),"Falta cómo se vende",IF(AND(K116&lt;&gt;"",N116="",M116=""),"(opcional) sin proveedor","OK"))))))</f>
        <v/>
      </c>
    </row>
    <row r="117">
      <c r="A117" s="11" t="n"/>
      <c r="B117" s="6" t="n"/>
      <c r="C117" s="6" t="n"/>
      <c r="D117" s="6" t="n"/>
      <c r="E117" s="6" t="n"/>
      <c r="F117" s="6" t="n"/>
      <c r="G117" s="6" t="n"/>
      <c r="H117" s="6" t="n"/>
      <c r="I117" s="6" t="n"/>
      <c r="J117" s="6" t="n"/>
      <c r="K117" s="7" t="n"/>
      <c r="L117" s="8" t="n"/>
      <c r="M117" s="6" t="n"/>
      <c r="N117" s="6" t="n"/>
      <c r="O117" s="9" t="n"/>
      <c r="P117" s="6" t="n"/>
      <c r="Q117" s="6" t="n"/>
      <c r="R117" s="6" t="n"/>
      <c r="S117" s="6" t="n"/>
      <c r="T117">
        <f>IF(C117="","",IF(AND(K117&lt;&gt;"",L117=""),"Falta el costo",IF(AND(LEFT(I117,6)="Por ov",K117&lt;&gt;"",G117=""),"Falta el peso del ovillo",IF(AND(A117="",B117=""),"Falta la categoría",IF(AND(A117="",I117=""),"Falta cómo se vende",IF(AND(K117&lt;&gt;"",N117="",M117=""),"(opcional) sin proveedor","OK"))))))</f>
        <v/>
      </c>
    </row>
    <row r="118">
      <c r="A118" s="11" t="n"/>
      <c r="B118" s="6" t="n"/>
      <c r="C118" s="6" t="n"/>
      <c r="D118" s="6" t="n"/>
      <c r="E118" s="6" t="n"/>
      <c r="F118" s="6" t="n"/>
      <c r="G118" s="6" t="n"/>
      <c r="H118" s="6" t="n"/>
      <c r="I118" s="6" t="n"/>
      <c r="J118" s="6" t="n"/>
      <c r="K118" s="7" t="n"/>
      <c r="L118" s="8" t="n"/>
      <c r="M118" s="6" t="n"/>
      <c r="N118" s="6" t="n"/>
      <c r="O118" s="9" t="n"/>
      <c r="P118" s="6" t="n"/>
      <c r="Q118" s="6" t="n"/>
      <c r="R118" s="6" t="n"/>
      <c r="S118" s="6" t="n"/>
      <c r="T118">
        <f>IF(C118="","",IF(AND(K118&lt;&gt;"",L118=""),"Falta el costo",IF(AND(LEFT(I118,6)="Por ov",K118&lt;&gt;"",G118=""),"Falta el peso del ovillo",IF(AND(A118="",B118=""),"Falta la categoría",IF(AND(A118="",I118=""),"Falta cómo se vende",IF(AND(K118&lt;&gt;"",N118="",M118=""),"(opcional) sin proveedor","OK"))))))</f>
        <v/>
      </c>
    </row>
    <row r="119">
      <c r="A119" s="11" t="n"/>
      <c r="B119" s="6" t="n"/>
      <c r="C119" s="6" t="n"/>
      <c r="D119" s="6" t="n"/>
      <c r="E119" s="6" t="n"/>
      <c r="F119" s="6" t="n"/>
      <c r="G119" s="6" t="n"/>
      <c r="H119" s="6" t="n"/>
      <c r="I119" s="6" t="n"/>
      <c r="J119" s="6" t="n"/>
      <c r="K119" s="7" t="n"/>
      <c r="L119" s="8" t="n"/>
      <c r="M119" s="6" t="n"/>
      <c r="N119" s="6" t="n"/>
      <c r="O119" s="9" t="n"/>
      <c r="P119" s="6" t="n"/>
      <c r="Q119" s="6" t="n"/>
      <c r="R119" s="6" t="n"/>
      <c r="S119" s="6" t="n"/>
      <c r="T119">
        <f>IF(C119="","",IF(AND(K119&lt;&gt;"",L119=""),"Falta el costo",IF(AND(LEFT(I119,6)="Por ov",K119&lt;&gt;"",G119=""),"Falta el peso del ovillo",IF(AND(A119="",B119=""),"Falta la categoría",IF(AND(A119="",I119=""),"Falta cómo se vende",IF(AND(K119&lt;&gt;"",N119="",M119=""),"(opcional) sin proveedor","OK"))))))</f>
        <v/>
      </c>
    </row>
    <row r="120">
      <c r="A120" s="11" t="n"/>
      <c r="B120" s="6" t="n"/>
      <c r="C120" s="6" t="n"/>
      <c r="D120" s="6" t="n"/>
      <c r="E120" s="6" t="n"/>
      <c r="F120" s="6" t="n"/>
      <c r="G120" s="6" t="n"/>
      <c r="H120" s="6" t="n"/>
      <c r="I120" s="6" t="n"/>
      <c r="J120" s="6" t="n"/>
      <c r="K120" s="7" t="n"/>
      <c r="L120" s="8" t="n"/>
      <c r="M120" s="6" t="n"/>
      <c r="N120" s="6" t="n"/>
      <c r="O120" s="9" t="n"/>
      <c r="P120" s="6" t="n"/>
      <c r="Q120" s="6" t="n"/>
      <c r="R120" s="6" t="n"/>
      <c r="S120" s="6" t="n"/>
      <c r="T120">
        <f>IF(C120="","",IF(AND(K120&lt;&gt;"",L120=""),"Falta el costo",IF(AND(LEFT(I120,6)="Por ov",K120&lt;&gt;"",G120=""),"Falta el peso del ovillo",IF(AND(A120="",B120=""),"Falta la categoría",IF(AND(A120="",I120=""),"Falta cómo se vende",IF(AND(K120&lt;&gt;"",N120="",M120=""),"(opcional) sin proveedor","OK"))))))</f>
        <v/>
      </c>
    </row>
    <row r="121">
      <c r="A121" s="11" t="n"/>
      <c r="B121" s="6" t="n"/>
      <c r="C121" s="6" t="n"/>
      <c r="D121" s="6" t="n"/>
      <c r="E121" s="6" t="n"/>
      <c r="F121" s="6" t="n"/>
      <c r="G121" s="6" t="n"/>
      <c r="H121" s="6" t="n"/>
      <c r="I121" s="6" t="n"/>
      <c r="J121" s="6" t="n"/>
      <c r="K121" s="7" t="n"/>
      <c r="L121" s="8" t="n"/>
      <c r="M121" s="6" t="n"/>
      <c r="N121" s="6" t="n"/>
      <c r="O121" s="9" t="n"/>
      <c r="P121" s="6" t="n"/>
      <c r="Q121" s="6" t="n"/>
      <c r="R121" s="6" t="n"/>
      <c r="S121" s="6" t="n"/>
      <c r="T121">
        <f>IF(C121="","",IF(AND(K121&lt;&gt;"",L121=""),"Falta el costo",IF(AND(LEFT(I121,6)="Por ov",K121&lt;&gt;"",G121=""),"Falta el peso del ovillo",IF(AND(A121="",B121=""),"Falta la categoría",IF(AND(A121="",I121=""),"Falta cómo se vende",IF(AND(K121&lt;&gt;"",N121="",M121=""),"(opcional) sin proveedor","OK"))))))</f>
        <v/>
      </c>
    </row>
    <row r="122">
      <c r="A122" s="11" t="n"/>
      <c r="B122" s="6" t="n"/>
      <c r="C122" s="6" t="n"/>
      <c r="D122" s="6" t="n"/>
      <c r="E122" s="6" t="n"/>
      <c r="F122" s="6" t="n"/>
      <c r="G122" s="6" t="n"/>
      <c r="H122" s="6" t="n"/>
      <c r="I122" s="6" t="n"/>
      <c r="J122" s="6" t="n"/>
      <c r="K122" s="7" t="n"/>
      <c r="L122" s="8" t="n"/>
      <c r="M122" s="6" t="n"/>
      <c r="N122" s="6" t="n"/>
      <c r="O122" s="9" t="n"/>
      <c r="P122" s="6" t="n"/>
      <c r="Q122" s="6" t="n"/>
      <c r="R122" s="6" t="n"/>
      <c r="S122" s="6" t="n"/>
      <c r="T122">
        <f>IF(C122="","",IF(AND(K122&lt;&gt;"",L122=""),"Falta el costo",IF(AND(LEFT(I122,6)="Por ov",K122&lt;&gt;"",G122=""),"Falta el peso del ovillo",IF(AND(A122="",B122=""),"Falta la categoría",IF(AND(A122="",I122=""),"Falta cómo se vende",IF(AND(K122&lt;&gt;"",N122="",M122=""),"(opcional) sin proveedor","OK"))))))</f>
        <v/>
      </c>
    </row>
    <row r="123">
      <c r="A123" s="11" t="n"/>
      <c r="B123" s="6" t="n"/>
      <c r="C123" s="6" t="n"/>
      <c r="D123" s="6" t="n"/>
      <c r="E123" s="6" t="n"/>
      <c r="F123" s="6" t="n"/>
      <c r="G123" s="6" t="n"/>
      <c r="H123" s="6" t="n"/>
      <c r="I123" s="6" t="n"/>
      <c r="J123" s="6" t="n"/>
      <c r="K123" s="7" t="n"/>
      <c r="L123" s="8" t="n"/>
      <c r="M123" s="6" t="n"/>
      <c r="N123" s="6" t="n"/>
      <c r="O123" s="9" t="n"/>
      <c r="P123" s="6" t="n"/>
      <c r="Q123" s="6" t="n"/>
      <c r="R123" s="6" t="n"/>
      <c r="S123" s="6" t="n"/>
      <c r="T123">
        <f>IF(C123="","",IF(AND(K123&lt;&gt;"",L123=""),"Falta el costo",IF(AND(LEFT(I123,6)="Por ov",K123&lt;&gt;"",G123=""),"Falta el peso del ovillo",IF(AND(A123="",B123=""),"Falta la categoría",IF(AND(A123="",I123=""),"Falta cómo se vende",IF(AND(K123&lt;&gt;"",N123="",M123=""),"(opcional) sin proveedor","OK"))))))</f>
        <v/>
      </c>
    </row>
    <row r="124">
      <c r="A124" s="11" t="n"/>
      <c r="B124" s="6" t="n"/>
      <c r="C124" s="6" t="n"/>
      <c r="D124" s="6" t="n"/>
      <c r="E124" s="6" t="n"/>
      <c r="F124" s="6" t="n"/>
      <c r="G124" s="6" t="n"/>
      <c r="H124" s="6" t="n"/>
      <c r="I124" s="6" t="n"/>
      <c r="J124" s="6" t="n"/>
      <c r="K124" s="7" t="n"/>
      <c r="L124" s="8" t="n"/>
      <c r="M124" s="6" t="n"/>
      <c r="N124" s="6" t="n"/>
      <c r="O124" s="9" t="n"/>
      <c r="P124" s="6" t="n"/>
      <c r="Q124" s="6" t="n"/>
      <c r="R124" s="6" t="n"/>
      <c r="S124" s="6" t="n"/>
      <c r="T124">
        <f>IF(C124="","",IF(AND(K124&lt;&gt;"",L124=""),"Falta el costo",IF(AND(LEFT(I124,6)="Por ov",K124&lt;&gt;"",G124=""),"Falta el peso del ovillo",IF(AND(A124="",B124=""),"Falta la categoría",IF(AND(A124="",I124=""),"Falta cómo se vende",IF(AND(K124&lt;&gt;"",N124="",M124=""),"(opcional) sin proveedor","OK"))))))</f>
        <v/>
      </c>
    </row>
    <row r="125">
      <c r="A125" s="11" t="n"/>
      <c r="B125" s="6" t="n"/>
      <c r="C125" s="6" t="n"/>
      <c r="D125" s="6" t="n"/>
      <c r="E125" s="6" t="n"/>
      <c r="F125" s="6" t="n"/>
      <c r="G125" s="6" t="n"/>
      <c r="H125" s="6" t="n"/>
      <c r="I125" s="6" t="n"/>
      <c r="J125" s="6" t="n"/>
      <c r="K125" s="7" t="n"/>
      <c r="L125" s="8" t="n"/>
      <c r="M125" s="6" t="n"/>
      <c r="N125" s="6" t="n"/>
      <c r="O125" s="9" t="n"/>
      <c r="P125" s="6" t="n"/>
      <c r="Q125" s="6" t="n"/>
      <c r="R125" s="6" t="n"/>
      <c r="S125" s="6" t="n"/>
      <c r="T125">
        <f>IF(C125="","",IF(AND(K125&lt;&gt;"",L125=""),"Falta el costo",IF(AND(LEFT(I125,6)="Por ov",K125&lt;&gt;"",G125=""),"Falta el peso del ovillo",IF(AND(A125="",B125=""),"Falta la categoría",IF(AND(A125="",I125=""),"Falta cómo se vende",IF(AND(K125&lt;&gt;"",N125="",M125=""),"(opcional) sin proveedor","OK"))))))</f>
        <v/>
      </c>
    </row>
    <row r="126">
      <c r="A126" s="11" t="n"/>
      <c r="B126" s="6" t="n"/>
      <c r="C126" s="6" t="n"/>
      <c r="D126" s="6" t="n"/>
      <c r="E126" s="6" t="n"/>
      <c r="F126" s="6" t="n"/>
      <c r="G126" s="6" t="n"/>
      <c r="H126" s="6" t="n"/>
      <c r="I126" s="6" t="n"/>
      <c r="J126" s="6" t="n"/>
      <c r="K126" s="7" t="n"/>
      <c r="L126" s="8" t="n"/>
      <c r="M126" s="6" t="n"/>
      <c r="N126" s="6" t="n"/>
      <c r="O126" s="9" t="n"/>
      <c r="P126" s="6" t="n"/>
      <c r="Q126" s="6" t="n"/>
      <c r="R126" s="6" t="n"/>
      <c r="S126" s="6" t="n"/>
      <c r="T126">
        <f>IF(C126="","",IF(AND(K126&lt;&gt;"",L126=""),"Falta el costo",IF(AND(LEFT(I126,6)="Por ov",K126&lt;&gt;"",G126=""),"Falta el peso del ovillo",IF(AND(A126="",B126=""),"Falta la categoría",IF(AND(A126="",I126=""),"Falta cómo se vende",IF(AND(K126&lt;&gt;"",N126="",M126=""),"(opcional) sin proveedor","OK"))))))</f>
        <v/>
      </c>
    </row>
    <row r="127">
      <c r="A127" s="11" t="n"/>
      <c r="B127" s="6" t="n"/>
      <c r="C127" s="6" t="n"/>
      <c r="D127" s="6" t="n"/>
      <c r="E127" s="6" t="n"/>
      <c r="F127" s="6" t="n"/>
      <c r="G127" s="6" t="n"/>
      <c r="H127" s="6" t="n"/>
      <c r="I127" s="6" t="n"/>
      <c r="J127" s="6" t="n"/>
      <c r="K127" s="7" t="n"/>
      <c r="L127" s="8" t="n"/>
      <c r="M127" s="6" t="n"/>
      <c r="N127" s="6" t="n"/>
      <c r="O127" s="9" t="n"/>
      <c r="P127" s="6" t="n"/>
      <c r="Q127" s="6" t="n"/>
      <c r="R127" s="6" t="n"/>
      <c r="S127" s="6" t="n"/>
      <c r="T127">
        <f>IF(C127="","",IF(AND(K127&lt;&gt;"",L127=""),"Falta el costo",IF(AND(LEFT(I127,6)="Por ov",K127&lt;&gt;"",G127=""),"Falta el peso del ovillo",IF(AND(A127="",B127=""),"Falta la categoría",IF(AND(A127="",I127=""),"Falta cómo se vende",IF(AND(K127&lt;&gt;"",N127="",M127=""),"(opcional) sin proveedor","OK"))))))</f>
        <v/>
      </c>
    </row>
    <row r="128">
      <c r="A128" s="11" t="n"/>
      <c r="B128" s="6" t="n"/>
      <c r="C128" s="6" t="n"/>
      <c r="D128" s="6" t="n"/>
      <c r="E128" s="6" t="n"/>
      <c r="F128" s="6" t="n"/>
      <c r="G128" s="6" t="n"/>
      <c r="H128" s="6" t="n"/>
      <c r="I128" s="6" t="n"/>
      <c r="J128" s="6" t="n"/>
      <c r="K128" s="7" t="n"/>
      <c r="L128" s="8" t="n"/>
      <c r="M128" s="6" t="n"/>
      <c r="N128" s="6" t="n"/>
      <c r="O128" s="9" t="n"/>
      <c r="P128" s="6" t="n"/>
      <c r="Q128" s="6" t="n"/>
      <c r="R128" s="6" t="n"/>
      <c r="S128" s="6" t="n"/>
      <c r="T128">
        <f>IF(C128="","",IF(AND(K128&lt;&gt;"",L128=""),"Falta el costo",IF(AND(LEFT(I128,6)="Por ov",K128&lt;&gt;"",G128=""),"Falta el peso del ovillo",IF(AND(A128="",B128=""),"Falta la categoría",IF(AND(A128="",I128=""),"Falta cómo se vende",IF(AND(K128&lt;&gt;"",N128="",M128=""),"(opcional) sin proveedor","OK"))))))</f>
        <v/>
      </c>
    </row>
    <row r="129">
      <c r="A129" s="11" t="n"/>
      <c r="B129" s="6" t="n"/>
      <c r="C129" s="6" t="n"/>
      <c r="D129" s="6" t="n"/>
      <c r="E129" s="6" t="n"/>
      <c r="F129" s="6" t="n"/>
      <c r="G129" s="6" t="n"/>
      <c r="H129" s="6" t="n"/>
      <c r="I129" s="6" t="n"/>
      <c r="J129" s="6" t="n"/>
      <c r="K129" s="7" t="n"/>
      <c r="L129" s="8" t="n"/>
      <c r="M129" s="6" t="n"/>
      <c r="N129" s="6" t="n"/>
      <c r="O129" s="9" t="n"/>
      <c r="P129" s="6" t="n"/>
      <c r="Q129" s="6" t="n"/>
      <c r="R129" s="6" t="n"/>
      <c r="S129" s="6" t="n"/>
      <c r="T129">
        <f>IF(C129="","",IF(AND(K129&lt;&gt;"",L129=""),"Falta el costo",IF(AND(LEFT(I129,6)="Por ov",K129&lt;&gt;"",G129=""),"Falta el peso del ovillo",IF(AND(A129="",B129=""),"Falta la categoría",IF(AND(A129="",I129=""),"Falta cómo se vende",IF(AND(K129&lt;&gt;"",N129="",M129=""),"(opcional) sin proveedor","OK"))))))</f>
        <v/>
      </c>
    </row>
    <row r="130">
      <c r="A130" s="11" t="n"/>
      <c r="B130" s="6" t="n"/>
      <c r="C130" s="6" t="n"/>
      <c r="D130" s="6" t="n"/>
      <c r="E130" s="6" t="n"/>
      <c r="F130" s="6" t="n"/>
      <c r="G130" s="6" t="n"/>
      <c r="H130" s="6" t="n"/>
      <c r="I130" s="6" t="n"/>
      <c r="J130" s="6" t="n"/>
      <c r="K130" s="7" t="n"/>
      <c r="L130" s="8" t="n"/>
      <c r="M130" s="6" t="n"/>
      <c r="N130" s="6" t="n"/>
      <c r="O130" s="9" t="n"/>
      <c r="P130" s="6" t="n"/>
      <c r="Q130" s="6" t="n"/>
      <c r="R130" s="6" t="n"/>
      <c r="S130" s="6" t="n"/>
      <c r="T130">
        <f>IF(C130="","",IF(AND(K130&lt;&gt;"",L130=""),"Falta el costo",IF(AND(LEFT(I130,6)="Por ov",K130&lt;&gt;"",G130=""),"Falta el peso del ovillo",IF(AND(A130="",B130=""),"Falta la categoría",IF(AND(A130="",I130=""),"Falta cómo se vende",IF(AND(K130&lt;&gt;"",N130="",M130=""),"(opcional) sin proveedor","OK"))))))</f>
        <v/>
      </c>
    </row>
    <row r="131">
      <c r="A131" s="11" t="n"/>
      <c r="B131" s="6" t="n"/>
      <c r="C131" s="6" t="n"/>
      <c r="D131" s="6" t="n"/>
      <c r="E131" s="6" t="n"/>
      <c r="F131" s="6" t="n"/>
      <c r="G131" s="6" t="n"/>
      <c r="H131" s="6" t="n"/>
      <c r="I131" s="6" t="n"/>
      <c r="J131" s="6" t="n"/>
      <c r="K131" s="7" t="n"/>
      <c r="L131" s="8" t="n"/>
      <c r="M131" s="6" t="n"/>
      <c r="N131" s="6" t="n"/>
      <c r="O131" s="9" t="n"/>
      <c r="P131" s="6" t="n"/>
      <c r="Q131" s="6" t="n"/>
      <c r="R131" s="6" t="n"/>
      <c r="S131" s="6" t="n"/>
      <c r="T131">
        <f>IF(C131="","",IF(AND(K131&lt;&gt;"",L131=""),"Falta el costo",IF(AND(LEFT(I131,6)="Por ov",K131&lt;&gt;"",G131=""),"Falta el peso del ovillo",IF(AND(A131="",B131=""),"Falta la categoría",IF(AND(A131="",I131=""),"Falta cómo se vende",IF(AND(K131&lt;&gt;"",N131="",M131=""),"(opcional) sin proveedor","OK"))))))</f>
        <v/>
      </c>
    </row>
    <row r="132">
      <c r="A132" s="11" t="n"/>
      <c r="B132" s="6" t="n"/>
      <c r="C132" s="6" t="n"/>
      <c r="D132" s="6" t="n"/>
      <c r="E132" s="6" t="n"/>
      <c r="F132" s="6" t="n"/>
      <c r="G132" s="6" t="n"/>
      <c r="H132" s="6" t="n"/>
      <c r="I132" s="6" t="n"/>
      <c r="J132" s="6" t="n"/>
      <c r="K132" s="7" t="n"/>
      <c r="L132" s="8" t="n"/>
      <c r="M132" s="6" t="n"/>
      <c r="N132" s="6" t="n"/>
      <c r="O132" s="9" t="n"/>
      <c r="P132" s="6" t="n"/>
      <c r="Q132" s="6" t="n"/>
      <c r="R132" s="6" t="n"/>
      <c r="S132" s="6" t="n"/>
      <c r="T132">
        <f>IF(C132="","",IF(AND(K132&lt;&gt;"",L132=""),"Falta el costo",IF(AND(LEFT(I132,6)="Por ov",K132&lt;&gt;"",G132=""),"Falta el peso del ovillo",IF(AND(A132="",B132=""),"Falta la categoría",IF(AND(A132="",I132=""),"Falta cómo se vende",IF(AND(K132&lt;&gt;"",N132="",M132=""),"(opcional) sin proveedor","OK"))))))</f>
        <v/>
      </c>
    </row>
    <row r="133">
      <c r="A133" s="11" t="n"/>
      <c r="B133" s="6" t="n"/>
      <c r="C133" s="6" t="n"/>
      <c r="D133" s="6" t="n"/>
      <c r="E133" s="6" t="n"/>
      <c r="F133" s="6" t="n"/>
      <c r="G133" s="6" t="n"/>
      <c r="H133" s="6" t="n"/>
      <c r="I133" s="6" t="n"/>
      <c r="J133" s="6" t="n"/>
      <c r="K133" s="7" t="n"/>
      <c r="L133" s="8" t="n"/>
      <c r="M133" s="6" t="n"/>
      <c r="N133" s="6" t="n"/>
      <c r="O133" s="9" t="n"/>
      <c r="P133" s="6" t="n"/>
      <c r="Q133" s="6" t="n"/>
      <c r="R133" s="6" t="n"/>
      <c r="S133" s="6" t="n"/>
      <c r="T133">
        <f>IF(C133="","",IF(AND(K133&lt;&gt;"",L133=""),"Falta el costo",IF(AND(LEFT(I133,6)="Por ov",K133&lt;&gt;"",G133=""),"Falta el peso del ovillo",IF(AND(A133="",B133=""),"Falta la categoría",IF(AND(A133="",I133=""),"Falta cómo se vende",IF(AND(K133&lt;&gt;"",N133="",M133=""),"(opcional) sin proveedor","OK"))))))</f>
        <v/>
      </c>
    </row>
    <row r="134">
      <c r="A134" s="11" t="n"/>
      <c r="B134" s="6" t="n"/>
      <c r="C134" s="6" t="n"/>
      <c r="D134" s="6" t="n"/>
      <c r="E134" s="6" t="n"/>
      <c r="F134" s="6" t="n"/>
      <c r="G134" s="6" t="n"/>
      <c r="H134" s="6" t="n"/>
      <c r="I134" s="6" t="n"/>
      <c r="J134" s="6" t="n"/>
      <c r="K134" s="7" t="n"/>
      <c r="L134" s="8" t="n"/>
      <c r="M134" s="6" t="n"/>
      <c r="N134" s="6" t="n"/>
      <c r="O134" s="9" t="n"/>
      <c r="P134" s="6" t="n"/>
      <c r="Q134" s="6" t="n"/>
      <c r="R134" s="6" t="n"/>
      <c r="S134" s="6" t="n"/>
      <c r="T134">
        <f>IF(C134="","",IF(AND(K134&lt;&gt;"",L134=""),"Falta el costo",IF(AND(LEFT(I134,6)="Por ov",K134&lt;&gt;"",G134=""),"Falta el peso del ovillo",IF(AND(A134="",B134=""),"Falta la categoría",IF(AND(A134="",I134=""),"Falta cómo se vende",IF(AND(K134&lt;&gt;"",N134="",M134=""),"(opcional) sin proveedor","OK"))))))</f>
        <v/>
      </c>
    </row>
    <row r="135">
      <c r="A135" s="11" t="n"/>
      <c r="B135" s="6" t="n"/>
      <c r="C135" s="6" t="n"/>
      <c r="D135" s="6" t="n"/>
      <c r="E135" s="6" t="n"/>
      <c r="F135" s="6" t="n"/>
      <c r="G135" s="6" t="n"/>
      <c r="H135" s="6" t="n"/>
      <c r="I135" s="6" t="n"/>
      <c r="J135" s="6" t="n"/>
      <c r="K135" s="7" t="n"/>
      <c r="L135" s="8" t="n"/>
      <c r="M135" s="6" t="n"/>
      <c r="N135" s="6" t="n"/>
      <c r="O135" s="9" t="n"/>
      <c r="P135" s="6" t="n"/>
      <c r="Q135" s="6" t="n"/>
      <c r="R135" s="6" t="n"/>
      <c r="S135" s="6" t="n"/>
      <c r="T135">
        <f>IF(C135="","",IF(AND(K135&lt;&gt;"",L135=""),"Falta el costo",IF(AND(LEFT(I135,6)="Por ov",K135&lt;&gt;"",G135=""),"Falta el peso del ovillo",IF(AND(A135="",B135=""),"Falta la categoría",IF(AND(A135="",I135=""),"Falta cómo se vende",IF(AND(K135&lt;&gt;"",N135="",M135=""),"(opcional) sin proveedor","OK"))))))</f>
        <v/>
      </c>
    </row>
    <row r="136">
      <c r="A136" s="11" t="n"/>
      <c r="B136" s="6" t="n"/>
      <c r="C136" s="6" t="n"/>
      <c r="D136" s="6" t="n"/>
      <c r="E136" s="6" t="n"/>
      <c r="F136" s="6" t="n"/>
      <c r="G136" s="6" t="n"/>
      <c r="H136" s="6" t="n"/>
      <c r="I136" s="6" t="n"/>
      <c r="J136" s="6" t="n"/>
      <c r="K136" s="7" t="n"/>
      <c r="L136" s="8" t="n"/>
      <c r="M136" s="6" t="n"/>
      <c r="N136" s="6" t="n"/>
      <c r="O136" s="9" t="n"/>
      <c r="P136" s="6" t="n"/>
      <c r="Q136" s="6" t="n"/>
      <c r="R136" s="6" t="n"/>
      <c r="S136" s="6" t="n"/>
      <c r="T136">
        <f>IF(C136="","",IF(AND(K136&lt;&gt;"",L136=""),"Falta el costo",IF(AND(LEFT(I136,6)="Por ov",K136&lt;&gt;"",G136=""),"Falta el peso del ovillo",IF(AND(A136="",B136=""),"Falta la categoría",IF(AND(A136="",I136=""),"Falta cómo se vende",IF(AND(K136&lt;&gt;"",N136="",M136=""),"(opcional) sin proveedor","OK"))))))</f>
        <v/>
      </c>
    </row>
    <row r="137">
      <c r="A137" s="11" t="n"/>
      <c r="B137" s="6" t="n"/>
      <c r="C137" s="6" t="n"/>
      <c r="D137" s="6" t="n"/>
      <c r="E137" s="6" t="n"/>
      <c r="F137" s="6" t="n"/>
      <c r="G137" s="6" t="n"/>
      <c r="H137" s="6" t="n"/>
      <c r="I137" s="6" t="n"/>
      <c r="J137" s="6" t="n"/>
      <c r="K137" s="7" t="n"/>
      <c r="L137" s="8" t="n"/>
      <c r="M137" s="6" t="n"/>
      <c r="N137" s="6" t="n"/>
      <c r="O137" s="9" t="n"/>
      <c r="P137" s="6" t="n"/>
      <c r="Q137" s="6" t="n"/>
      <c r="R137" s="6" t="n"/>
      <c r="S137" s="6" t="n"/>
      <c r="T137">
        <f>IF(C137="","",IF(AND(K137&lt;&gt;"",L137=""),"Falta el costo",IF(AND(LEFT(I137,6)="Por ov",K137&lt;&gt;"",G137=""),"Falta el peso del ovillo",IF(AND(A137="",B137=""),"Falta la categoría",IF(AND(A137="",I137=""),"Falta cómo se vende",IF(AND(K137&lt;&gt;"",N137="",M137=""),"(opcional) sin proveedor","OK"))))))</f>
        <v/>
      </c>
    </row>
    <row r="138">
      <c r="A138" s="11" t="n"/>
      <c r="B138" s="6" t="n"/>
      <c r="C138" s="6" t="n"/>
      <c r="D138" s="6" t="n"/>
      <c r="E138" s="6" t="n"/>
      <c r="F138" s="6" t="n"/>
      <c r="G138" s="6" t="n"/>
      <c r="H138" s="6" t="n"/>
      <c r="I138" s="6" t="n"/>
      <c r="J138" s="6" t="n"/>
      <c r="K138" s="7" t="n"/>
      <c r="L138" s="8" t="n"/>
      <c r="M138" s="6" t="n"/>
      <c r="N138" s="6" t="n"/>
      <c r="O138" s="9" t="n"/>
      <c r="P138" s="6" t="n"/>
      <c r="Q138" s="6" t="n"/>
      <c r="R138" s="6" t="n"/>
      <c r="S138" s="6" t="n"/>
      <c r="T138">
        <f>IF(C138="","",IF(AND(K138&lt;&gt;"",L138=""),"Falta el costo",IF(AND(LEFT(I138,6)="Por ov",K138&lt;&gt;"",G138=""),"Falta el peso del ovillo",IF(AND(A138="",B138=""),"Falta la categoría",IF(AND(A138="",I138=""),"Falta cómo se vende",IF(AND(K138&lt;&gt;"",N138="",M138=""),"(opcional) sin proveedor","OK"))))))</f>
        <v/>
      </c>
    </row>
    <row r="139">
      <c r="A139" s="11" t="n"/>
      <c r="B139" s="6" t="n"/>
      <c r="C139" s="6" t="n"/>
      <c r="D139" s="6" t="n"/>
      <c r="E139" s="6" t="n"/>
      <c r="F139" s="6" t="n"/>
      <c r="G139" s="6" t="n"/>
      <c r="H139" s="6" t="n"/>
      <c r="I139" s="6" t="n"/>
      <c r="J139" s="6" t="n"/>
      <c r="K139" s="7" t="n"/>
      <c r="L139" s="8" t="n"/>
      <c r="M139" s="6" t="n"/>
      <c r="N139" s="6" t="n"/>
      <c r="O139" s="9" t="n"/>
      <c r="P139" s="6" t="n"/>
      <c r="Q139" s="6" t="n"/>
      <c r="R139" s="6" t="n"/>
      <c r="S139" s="6" t="n"/>
      <c r="T139">
        <f>IF(C139="","",IF(AND(K139&lt;&gt;"",L139=""),"Falta el costo",IF(AND(LEFT(I139,6)="Por ov",K139&lt;&gt;"",G139=""),"Falta el peso del ovillo",IF(AND(A139="",B139=""),"Falta la categoría",IF(AND(A139="",I139=""),"Falta cómo se vende",IF(AND(K139&lt;&gt;"",N139="",M139=""),"(opcional) sin proveedor","OK"))))))</f>
        <v/>
      </c>
    </row>
    <row r="140">
      <c r="A140" s="11" t="n"/>
      <c r="B140" s="6" t="n"/>
      <c r="C140" s="6" t="n"/>
      <c r="D140" s="6" t="n"/>
      <c r="E140" s="6" t="n"/>
      <c r="F140" s="6" t="n"/>
      <c r="G140" s="6" t="n"/>
      <c r="H140" s="6" t="n"/>
      <c r="I140" s="6" t="n"/>
      <c r="J140" s="6" t="n"/>
      <c r="K140" s="7" t="n"/>
      <c r="L140" s="8" t="n"/>
      <c r="M140" s="6" t="n"/>
      <c r="N140" s="6" t="n"/>
      <c r="O140" s="9" t="n"/>
      <c r="P140" s="6" t="n"/>
      <c r="Q140" s="6" t="n"/>
      <c r="R140" s="6" t="n"/>
      <c r="S140" s="6" t="n"/>
      <c r="T140">
        <f>IF(C140="","",IF(AND(K140&lt;&gt;"",L140=""),"Falta el costo",IF(AND(LEFT(I140,6)="Por ov",K140&lt;&gt;"",G140=""),"Falta el peso del ovillo",IF(AND(A140="",B140=""),"Falta la categoría",IF(AND(A140="",I140=""),"Falta cómo se vende",IF(AND(K140&lt;&gt;"",N140="",M140=""),"(opcional) sin proveedor","OK"))))))</f>
        <v/>
      </c>
    </row>
    <row r="141">
      <c r="A141" s="11" t="n"/>
      <c r="B141" s="6" t="n"/>
      <c r="C141" s="6" t="n"/>
      <c r="D141" s="6" t="n"/>
      <c r="E141" s="6" t="n"/>
      <c r="F141" s="6" t="n"/>
      <c r="G141" s="6" t="n"/>
      <c r="H141" s="6" t="n"/>
      <c r="I141" s="6" t="n"/>
      <c r="J141" s="6" t="n"/>
      <c r="K141" s="7" t="n"/>
      <c r="L141" s="8" t="n"/>
      <c r="M141" s="6" t="n"/>
      <c r="N141" s="6" t="n"/>
      <c r="O141" s="9" t="n"/>
      <c r="P141" s="6" t="n"/>
      <c r="Q141" s="6" t="n"/>
      <c r="R141" s="6" t="n"/>
      <c r="S141" s="6" t="n"/>
      <c r="T141">
        <f>IF(C141="","",IF(AND(K141&lt;&gt;"",L141=""),"Falta el costo",IF(AND(LEFT(I141,6)="Por ov",K141&lt;&gt;"",G141=""),"Falta el peso del ovillo",IF(AND(A141="",B141=""),"Falta la categoría",IF(AND(A141="",I141=""),"Falta cómo se vende",IF(AND(K141&lt;&gt;"",N141="",M141=""),"(opcional) sin proveedor","OK"))))))</f>
        <v/>
      </c>
    </row>
    <row r="142">
      <c r="A142" s="11" t="n"/>
      <c r="B142" s="6" t="n"/>
      <c r="C142" s="6" t="n"/>
      <c r="D142" s="6" t="n"/>
      <c r="E142" s="6" t="n"/>
      <c r="F142" s="6" t="n"/>
      <c r="G142" s="6" t="n"/>
      <c r="H142" s="6" t="n"/>
      <c r="I142" s="6" t="n"/>
      <c r="J142" s="6" t="n"/>
      <c r="K142" s="7" t="n"/>
      <c r="L142" s="8" t="n"/>
      <c r="M142" s="6" t="n"/>
      <c r="N142" s="6" t="n"/>
      <c r="O142" s="9" t="n"/>
      <c r="P142" s="6" t="n"/>
      <c r="Q142" s="6" t="n"/>
      <c r="R142" s="6" t="n"/>
      <c r="S142" s="6" t="n"/>
      <c r="T142">
        <f>IF(C142="","",IF(AND(K142&lt;&gt;"",L142=""),"Falta el costo",IF(AND(LEFT(I142,6)="Por ov",K142&lt;&gt;"",G142=""),"Falta el peso del ovillo",IF(AND(A142="",B142=""),"Falta la categoría",IF(AND(A142="",I142=""),"Falta cómo se vende",IF(AND(K142&lt;&gt;"",N142="",M142=""),"(opcional) sin proveedor","OK"))))))</f>
        <v/>
      </c>
    </row>
    <row r="143">
      <c r="A143" s="11" t="n"/>
      <c r="B143" s="6" t="n"/>
      <c r="C143" s="6" t="n"/>
      <c r="D143" s="6" t="n"/>
      <c r="E143" s="6" t="n"/>
      <c r="F143" s="6" t="n"/>
      <c r="G143" s="6" t="n"/>
      <c r="H143" s="6" t="n"/>
      <c r="I143" s="6" t="n"/>
      <c r="J143" s="6" t="n"/>
      <c r="K143" s="7" t="n"/>
      <c r="L143" s="8" t="n"/>
      <c r="M143" s="6" t="n"/>
      <c r="N143" s="6" t="n"/>
      <c r="O143" s="9" t="n"/>
      <c r="P143" s="6" t="n"/>
      <c r="Q143" s="6" t="n"/>
      <c r="R143" s="6" t="n"/>
      <c r="S143" s="6" t="n"/>
      <c r="T143">
        <f>IF(C143="","",IF(AND(K143&lt;&gt;"",L143=""),"Falta el costo",IF(AND(LEFT(I143,6)="Por ov",K143&lt;&gt;"",G143=""),"Falta el peso del ovillo",IF(AND(A143="",B143=""),"Falta la categoría",IF(AND(A143="",I143=""),"Falta cómo se vende",IF(AND(K143&lt;&gt;"",N143="",M143=""),"(opcional) sin proveedor","OK"))))))</f>
        <v/>
      </c>
    </row>
    <row r="144">
      <c r="A144" s="11" t="n"/>
      <c r="B144" s="6" t="n"/>
      <c r="C144" s="6" t="n"/>
      <c r="D144" s="6" t="n"/>
      <c r="E144" s="6" t="n"/>
      <c r="F144" s="6" t="n"/>
      <c r="G144" s="6" t="n"/>
      <c r="H144" s="6" t="n"/>
      <c r="I144" s="6" t="n"/>
      <c r="J144" s="6" t="n"/>
      <c r="K144" s="7" t="n"/>
      <c r="L144" s="8" t="n"/>
      <c r="M144" s="6" t="n"/>
      <c r="N144" s="6" t="n"/>
      <c r="O144" s="9" t="n"/>
      <c r="P144" s="6" t="n"/>
      <c r="Q144" s="6" t="n"/>
      <c r="R144" s="6" t="n"/>
      <c r="S144" s="6" t="n"/>
      <c r="T144">
        <f>IF(C144="","",IF(AND(K144&lt;&gt;"",L144=""),"Falta el costo",IF(AND(LEFT(I144,6)="Por ov",K144&lt;&gt;"",G144=""),"Falta el peso del ovillo",IF(AND(A144="",B144=""),"Falta la categoría",IF(AND(A144="",I144=""),"Falta cómo se vende",IF(AND(K144&lt;&gt;"",N144="",M144=""),"(opcional) sin proveedor","OK"))))))</f>
        <v/>
      </c>
    </row>
    <row r="145">
      <c r="A145" s="11" t="n"/>
      <c r="B145" s="6" t="n"/>
      <c r="C145" s="6" t="n"/>
      <c r="D145" s="6" t="n"/>
      <c r="E145" s="6" t="n"/>
      <c r="F145" s="6" t="n"/>
      <c r="G145" s="6" t="n"/>
      <c r="H145" s="6" t="n"/>
      <c r="I145" s="6" t="n"/>
      <c r="J145" s="6" t="n"/>
      <c r="K145" s="7" t="n"/>
      <c r="L145" s="8" t="n"/>
      <c r="M145" s="6" t="n"/>
      <c r="N145" s="6" t="n"/>
      <c r="O145" s="9" t="n"/>
      <c r="P145" s="6" t="n"/>
      <c r="Q145" s="6" t="n"/>
      <c r="R145" s="6" t="n"/>
      <c r="S145" s="6" t="n"/>
      <c r="T145">
        <f>IF(C145="","",IF(AND(K145&lt;&gt;"",L145=""),"Falta el costo",IF(AND(LEFT(I145,6)="Por ov",K145&lt;&gt;"",G145=""),"Falta el peso del ovillo",IF(AND(A145="",B145=""),"Falta la categoría",IF(AND(A145="",I145=""),"Falta cómo se vende",IF(AND(K145&lt;&gt;"",N145="",M145=""),"(opcional) sin proveedor","OK"))))))</f>
        <v/>
      </c>
    </row>
    <row r="146">
      <c r="A146" s="11" t="n"/>
      <c r="B146" s="6" t="n"/>
      <c r="C146" s="6" t="n"/>
      <c r="D146" s="6" t="n"/>
      <c r="E146" s="6" t="n"/>
      <c r="F146" s="6" t="n"/>
      <c r="G146" s="6" t="n"/>
      <c r="H146" s="6" t="n"/>
      <c r="I146" s="6" t="n"/>
      <c r="J146" s="6" t="n"/>
      <c r="K146" s="7" t="n"/>
      <c r="L146" s="8" t="n"/>
      <c r="M146" s="6" t="n"/>
      <c r="N146" s="6" t="n"/>
      <c r="O146" s="9" t="n"/>
      <c r="P146" s="6" t="n"/>
      <c r="Q146" s="6" t="n"/>
      <c r="R146" s="6" t="n"/>
      <c r="S146" s="6" t="n"/>
      <c r="T146">
        <f>IF(C146="","",IF(AND(K146&lt;&gt;"",L146=""),"Falta el costo",IF(AND(LEFT(I146,6)="Por ov",K146&lt;&gt;"",G146=""),"Falta el peso del ovillo",IF(AND(A146="",B146=""),"Falta la categoría",IF(AND(A146="",I146=""),"Falta cómo se vende",IF(AND(K146&lt;&gt;"",N146="",M146=""),"(opcional) sin proveedor","OK"))))))</f>
        <v/>
      </c>
    </row>
    <row r="147">
      <c r="A147" s="11" t="n"/>
      <c r="B147" s="6" t="n"/>
      <c r="C147" s="6" t="n"/>
      <c r="D147" s="6" t="n"/>
      <c r="E147" s="6" t="n"/>
      <c r="F147" s="6" t="n"/>
      <c r="G147" s="6" t="n"/>
      <c r="H147" s="6" t="n"/>
      <c r="I147" s="6" t="n"/>
      <c r="J147" s="6" t="n"/>
      <c r="K147" s="7" t="n"/>
      <c r="L147" s="8" t="n"/>
      <c r="M147" s="6" t="n"/>
      <c r="N147" s="6" t="n"/>
      <c r="O147" s="9" t="n"/>
      <c r="P147" s="6" t="n"/>
      <c r="Q147" s="6" t="n"/>
      <c r="R147" s="6" t="n"/>
      <c r="S147" s="6" t="n"/>
      <c r="T147">
        <f>IF(C147="","",IF(AND(K147&lt;&gt;"",L147=""),"Falta el costo",IF(AND(LEFT(I147,6)="Por ov",K147&lt;&gt;"",G147=""),"Falta el peso del ovillo",IF(AND(A147="",B147=""),"Falta la categoría",IF(AND(A147="",I147=""),"Falta cómo se vende",IF(AND(K147&lt;&gt;"",N147="",M147=""),"(opcional) sin proveedor","OK"))))))</f>
        <v/>
      </c>
    </row>
    <row r="148">
      <c r="A148" s="11" t="n"/>
      <c r="B148" s="6" t="n"/>
      <c r="C148" s="6" t="n"/>
      <c r="D148" s="6" t="n"/>
      <c r="E148" s="6" t="n"/>
      <c r="F148" s="6" t="n"/>
      <c r="G148" s="6" t="n"/>
      <c r="H148" s="6" t="n"/>
      <c r="I148" s="6" t="n"/>
      <c r="J148" s="6" t="n"/>
      <c r="K148" s="7" t="n"/>
      <c r="L148" s="8" t="n"/>
      <c r="M148" s="6" t="n"/>
      <c r="N148" s="6" t="n"/>
      <c r="O148" s="9" t="n"/>
      <c r="P148" s="6" t="n"/>
      <c r="Q148" s="6" t="n"/>
      <c r="R148" s="6" t="n"/>
      <c r="S148" s="6" t="n"/>
      <c r="T148">
        <f>IF(C148="","",IF(AND(K148&lt;&gt;"",L148=""),"Falta el costo",IF(AND(LEFT(I148,6)="Por ov",K148&lt;&gt;"",G148=""),"Falta el peso del ovillo",IF(AND(A148="",B148=""),"Falta la categoría",IF(AND(A148="",I148=""),"Falta cómo se vende",IF(AND(K148&lt;&gt;"",N148="",M148=""),"(opcional) sin proveedor","OK"))))))</f>
        <v/>
      </c>
    </row>
    <row r="149">
      <c r="A149" s="11" t="n"/>
      <c r="B149" s="6" t="n"/>
      <c r="C149" s="6" t="n"/>
      <c r="D149" s="6" t="n"/>
      <c r="E149" s="6" t="n"/>
      <c r="F149" s="6" t="n"/>
      <c r="G149" s="6" t="n"/>
      <c r="H149" s="6" t="n"/>
      <c r="I149" s="6" t="n"/>
      <c r="J149" s="6" t="n"/>
      <c r="K149" s="7" t="n"/>
      <c r="L149" s="8" t="n"/>
      <c r="M149" s="6" t="n"/>
      <c r="N149" s="6" t="n"/>
      <c r="O149" s="9" t="n"/>
      <c r="P149" s="6" t="n"/>
      <c r="Q149" s="6" t="n"/>
      <c r="R149" s="6" t="n"/>
      <c r="S149" s="6" t="n"/>
      <c r="T149">
        <f>IF(C149="","",IF(AND(K149&lt;&gt;"",L149=""),"Falta el costo",IF(AND(LEFT(I149,6)="Por ov",K149&lt;&gt;"",G149=""),"Falta el peso del ovillo",IF(AND(A149="",B149=""),"Falta la categoría",IF(AND(A149="",I149=""),"Falta cómo se vende",IF(AND(K149&lt;&gt;"",N149="",M149=""),"(opcional) sin proveedor","OK"))))))</f>
        <v/>
      </c>
    </row>
    <row r="150">
      <c r="A150" s="11" t="n"/>
      <c r="B150" s="6" t="n"/>
      <c r="C150" s="6" t="n"/>
      <c r="D150" s="6" t="n"/>
      <c r="E150" s="6" t="n"/>
      <c r="F150" s="6" t="n"/>
      <c r="G150" s="6" t="n"/>
      <c r="H150" s="6" t="n"/>
      <c r="I150" s="6" t="n"/>
      <c r="J150" s="6" t="n"/>
      <c r="K150" s="7" t="n"/>
      <c r="L150" s="8" t="n"/>
      <c r="M150" s="6" t="n"/>
      <c r="N150" s="6" t="n"/>
      <c r="O150" s="9" t="n"/>
      <c r="P150" s="6" t="n"/>
      <c r="Q150" s="6" t="n"/>
      <c r="R150" s="6" t="n"/>
      <c r="S150" s="6" t="n"/>
      <c r="T150">
        <f>IF(C150="","",IF(AND(K150&lt;&gt;"",L150=""),"Falta el costo",IF(AND(LEFT(I150,6)="Por ov",K150&lt;&gt;"",G150=""),"Falta el peso del ovillo",IF(AND(A150="",B150=""),"Falta la categoría",IF(AND(A150="",I150=""),"Falta cómo se vende",IF(AND(K150&lt;&gt;"",N150="",M150=""),"(opcional) sin proveedor","OK"))))))</f>
        <v/>
      </c>
    </row>
  </sheetData>
  <autoFilter ref="A1:S75"/>
  <conditionalFormatting sqref="T2:T150">
    <cfRule type="expression" priority="1" dxfId="0">
      <formula>AND(LEFT(T2,5)="Falta")</formula>
    </cfRule>
    <cfRule type="expression" priority="2" dxfId="1">
      <formula>T2="OK"</formula>
    </cfRule>
  </conditionalFormatting>
  <dataValidations count="6">
    <dataValidation sqref="B2:B150" showDropDown="0" showInputMessage="0" showErrorMessage="1" allowBlank="1" type="list">
      <formula1>=Listas!$A$1:$A$10</formula1>
    </dataValidation>
    <dataValidation sqref="I2:I150" showDropDown="0" showInputMessage="0" showErrorMessage="1" allowBlank="1" type="list">
      <formula1>=Listas!$C$1:$C$2</formula1>
    </dataValidation>
    <dataValidation sqref="J2:J150" showDropDown="0" showInputMessage="0" showErrorMessage="1" allowBlank="1" type="list">
      <formula1>=Listas!$D$1:$D$2</formula1>
    </dataValidation>
    <dataValidation sqref="M2:M150" showDropDown="0" showInputMessage="0" showErrorMessage="0" allowBlank="1" type="list">
      <formula1>=Listas!$B$1:$B$4</formula1>
    </dataValidation>
    <dataValidation sqref="K2:L150 Q2:Q150" showDropDown="0" showInputMessage="0" showErrorMessage="1" allowBlank="1" errorTitle="Número" error="Escribe un número (sin puntos ni signos)." type="decimal" operator="greaterThanOrEqual">
      <formula1>0</formula1>
    </dataValidation>
    <dataValidation sqref="O2:O150" showDropDown="0" showInputMessage="0" showErrorMessage="1" allowBlank="1" error="Escribe una fecha (DD/MM/AAAA)." type="date" operator="greaterThan">
      <formula1>45658</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sheetData>
    <row r="1">
      <c r="A1" t="inlineStr">
        <is>
          <t>Lanas</t>
        </is>
      </c>
      <c r="B1" t="inlineStr">
        <is>
          <t>Bombay</t>
        </is>
      </c>
      <c r="C1" t="inlineStr">
        <is>
          <t>Por ovillo y por gramo</t>
        </is>
      </c>
      <c r="D1" t="inlineStr">
        <is>
          <t>Sí</t>
        </is>
      </c>
    </row>
    <row r="2">
      <c r="A2" t="inlineStr">
        <is>
          <t>Hilos</t>
        </is>
      </c>
      <c r="B2" t="inlineStr">
        <is>
          <t>Mega Import</t>
        </is>
      </c>
      <c r="C2" t="inlineStr">
        <is>
          <t>Por unidad</t>
        </is>
      </c>
      <c r="D2" t="inlineStr">
        <is>
          <t>No</t>
        </is>
      </c>
    </row>
    <row r="3">
      <c r="A3" t="inlineStr">
        <is>
          <t>Agujas</t>
        </is>
      </c>
      <c r="B3" t="inlineStr">
        <is>
          <t>Otros</t>
        </is>
      </c>
    </row>
    <row r="4">
      <c r="A4" t="inlineStr">
        <is>
          <t>Herrajes</t>
        </is>
      </c>
      <c r="B4" t="inlineStr">
        <is>
          <t>(nuevo proveedor: escríbelo en Notas)</t>
        </is>
      </c>
    </row>
    <row r="5">
      <c r="A5" t="inlineStr">
        <is>
          <t>Accesorios y herramientas</t>
        </is>
      </c>
    </row>
    <row r="6">
      <c r="A6" t="inlineStr">
        <is>
          <t>Relleno</t>
        </is>
      </c>
    </row>
    <row r="7">
      <c r="A7" t="inlineStr">
        <is>
          <t>Tijeras</t>
        </is>
      </c>
    </row>
    <row r="8">
      <c r="A8" t="inlineStr">
        <is>
          <t>Alfileres</t>
        </is>
      </c>
    </row>
    <row r="9">
      <c r="A9" t="inlineStr">
        <is>
          <t>Kits de tejido</t>
        </is>
      </c>
    </row>
    <row r="10">
      <c r="A10" t="inlineStr">
        <is>
          <t>Otros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2026-10-05T23:05:04Z</dcterms:created>
  <dcterms:modified xmlns:dcterms="http://purl.org/dc/terms/" xmlns:xsi="http://www.w3.org/2001/XMLSchema-instance" xsi:type="dcterms:W3CDTF">2026-10-22T19:46:17Z</dcterms:modified>
</cp:coreProperties>
</file>